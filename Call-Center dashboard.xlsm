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Default Extension="svg" ContentType="image/svg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0730" windowHeight="11760" tabRatio="531" firstSheet="1" activeTab="1"/>
  </bookViews>
  <sheets>
    <sheet name="ChartsDataSheet" sheetId="73" state="veryHidden" r:id="rId1"/>
    <sheet name="dashboard" sheetId="71" r:id="rId2"/>
    <sheet name="data" sheetId="61" r:id="rId3"/>
    <sheet name="calc" sheetId="72" r:id="rId4"/>
  </sheets>
  <definedNames>
    <definedName name="valHelpStatus">calc!$AB$18</definedName>
  </definedNames>
  <calcPr calcId="125725"/>
</workbook>
</file>

<file path=xl/calcChain.xml><?xml version="1.0" encoding="utf-8"?>
<calcChain xmlns="http://schemas.openxmlformats.org/spreadsheetml/2006/main">
  <c r="B8" i="71"/>
  <c r="Z6" i="72" l="1"/>
  <c r="Z7"/>
  <c r="Z8"/>
  <c r="Z9"/>
  <c r="Z10"/>
  <c r="Z11"/>
  <c r="Z12"/>
  <c r="Z13"/>
  <c r="Z14"/>
  <c r="Z15"/>
  <c r="Z16"/>
  <c r="Z5"/>
  <c r="R6"/>
  <c r="R7"/>
  <c r="R8"/>
  <c r="R9"/>
  <c r="R10"/>
  <c r="R11"/>
  <c r="R12"/>
  <c r="R13"/>
  <c r="R14"/>
  <c r="R15"/>
  <c r="R16"/>
  <c r="R5"/>
  <c r="H6"/>
  <c r="H7"/>
  <c r="H8"/>
  <c r="H9"/>
  <c r="H10"/>
  <c r="H11"/>
  <c r="H12"/>
  <c r="H13"/>
  <c r="H14"/>
  <c r="H15"/>
  <c r="H16"/>
  <c r="H5"/>
  <c r="V2" i="73" l="1"/>
  <c r="H2"/>
  <c r="D2"/>
  <c r="B2"/>
  <c r="C2" s="1"/>
  <c r="S2"/>
  <c r="T2"/>
  <c r="E2" l="1"/>
  <c r="T5" i="72"/>
  <c r="X5" s="1"/>
  <c r="AF7" s="1"/>
  <c r="R19" i="71" s="1"/>
  <c r="U5" i="72" l="1"/>
  <c r="AC7" s="1"/>
  <c r="O19" i="71" s="1"/>
  <c r="V5" i="72"/>
  <c r="AD7" s="1"/>
  <c r="P19" i="71" s="1"/>
  <c r="W5" i="72"/>
  <c r="AE7" s="1"/>
  <c r="Q19" i="71" s="1"/>
  <c r="T6" i="72"/>
  <c r="L5"/>
  <c r="L6" s="1"/>
  <c r="O6" s="1"/>
  <c r="W6" l="1"/>
  <c r="X6"/>
  <c r="V6"/>
  <c r="U6"/>
  <c r="T7"/>
  <c r="Y5"/>
  <c r="N6"/>
  <c r="P6"/>
  <c r="M6"/>
  <c r="M5"/>
  <c r="AC6" s="1"/>
  <c r="O18" i="71" s="1"/>
  <c r="N5" i="72"/>
  <c r="AD6" s="1"/>
  <c r="P18" i="71" s="1"/>
  <c r="O5" i="72"/>
  <c r="AE6" s="1"/>
  <c r="Q18" i="71" s="1"/>
  <c r="P5" i="72"/>
  <c r="AF6" s="1"/>
  <c r="R18" i="71" s="1"/>
  <c r="L7" i="72"/>
  <c r="B5"/>
  <c r="AF15" l="1"/>
  <c r="J13" i="71" s="1"/>
  <c r="AE15" i="72"/>
  <c r="H13" i="71" s="1"/>
  <c r="AD15" i="72"/>
  <c r="F13" i="71" s="1"/>
  <c r="AC15" i="72"/>
  <c r="D13" i="71" s="1"/>
  <c r="AD14" i="72"/>
  <c r="F12" i="71" s="1"/>
  <c r="AC14" i="72"/>
  <c r="D12" i="71" s="1"/>
  <c r="AF14" i="72"/>
  <c r="J12" i="71" s="1"/>
  <c r="AE14" i="72"/>
  <c r="H12" i="71" s="1"/>
  <c r="AC13" i="72"/>
  <c r="D11" i="71" s="1"/>
  <c r="AF13" i="72"/>
  <c r="J11" i="71" s="1"/>
  <c r="AE13" i="72"/>
  <c r="H11" i="71" s="1"/>
  <c r="AD13" i="72"/>
  <c r="F11" i="71" s="1"/>
  <c r="X7" i="72"/>
  <c r="W7"/>
  <c r="V7"/>
  <c r="U7"/>
  <c r="T8"/>
  <c r="Y6"/>
  <c r="P7"/>
  <c r="O7"/>
  <c r="N7"/>
  <c r="M7"/>
  <c r="Q5"/>
  <c r="Q6"/>
  <c r="L8"/>
  <c r="B6"/>
  <c r="E6" s="1"/>
  <c r="F5"/>
  <c r="AF5" s="1"/>
  <c r="R17" i="71" s="1"/>
  <c r="C5" i="72"/>
  <c r="AC5" s="1"/>
  <c r="O17" i="71" s="1"/>
  <c r="D5" i="72"/>
  <c r="AD5" s="1"/>
  <c r="P17" i="71" s="1"/>
  <c r="E5" i="72"/>
  <c r="AE5" s="1"/>
  <c r="Q17" i="71" s="1"/>
  <c r="W8" i="72" l="1"/>
  <c r="U8"/>
  <c r="X8"/>
  <c r="V8"/>
  <c r="Y7"/>
  <c r="T9"/>
  <c r="P8"/>
  <c r="O8"/>
  <c r="N8"/>
  <c r="M8"/>
  <c r="Q7"/>
  <c r="L9"/>
  <c r="B7"/>
  <c r="F7" s="1"/>
  <c r="D6"/>
  <c r="C6"/>
  <c r="F6"/>
  <c r="G5"/>
  <c r="N11" i="61"/>
  <c r="O11"/>
  <c r="M11"/>
  <c r="X9" i="72" l="1"/>
  <c r="W9"/>
  <c r="V9"/>
  <c r="U9"/>
  <c r="T10"/>
  <c r="Y8"/>
  <c r="P9"/>
  <c r="O9"/>
  <c r="N9"/>
  <c r="M9"/>
  <c r="Q8"/>
  <c r="L10"/>
  <c r="B8"/>
  <c r="E8" s="1"/>
  <c r="C7"/>
  <c r="D7"/>
  <c r="E7"/>
  <c r="G6"/>
  <c r="O12" i="61"/>
  <c r="O13" s="1"/>
  <c r="O14" s="1"/>
  <c r="O15" s="1"/>
  <c r="N12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M12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M58" s="1"/>
  <c r="X10" i="72" l="1"/>
  <c r="W10"/>
  <c r="V10"/>
  <c r="U10"/>
  <c r="T11"/>
  <c r="Y9"/>
  <c r="P10"/>
  <c r="N10"/>
  <c r="M10"/>
  <c r="O10"/>
  <c r="Q9"/>
  <c r="L11"/>
  <c r="B9"/>
  <c r="F9" s="1"/>
  <c r="C8"/>
  <c r="D8"/>
  <c r="F8"/>
  <c r="G7"/>
  <c r="O16" i="6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L12"/>
  <c r="L11"/>
  <c r="X11" i="72" l="1"/>
  <c r="W11"/>
  <c r="V11"/>
  <c r="U11"/>
  <c r="T12"/>
  <c r="Y10"/>
  <c r="P11"/>
  <c r="O11"/>
  <c r="N11"/>
  <c r="M11"/>
  <c r="L12"/>
  <c r="Q10"/>
  <c r="C9"/>
  <c r="D9"/>
  <c r="E9"/>
  <c r="B10"/>
  <c r="B11" s="1"/>
  <c r="G8"/>
  <c r="O40" i="6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O58" s="1"/>
  <c r="L13"/>
  <c r="X12" i="72" l="1"/>
  <c r="V12"/>
  <c r="W12"/>
  <c r="U12"/>
  <c r="T13"/>
  <c r="Y11"/>
  <c r="P12"/>
  <c r="O12"/>
  <c r="N12"/>
  <c r="M12"/>
  <c r="Q11"/>
  <c r="L13"/>
  <c r="C10"/>
  <c r="D10"/>
  <c r="E10"/>
  <c r="G9"/>
  <c r="F10"/>
  <c r="B12"/>
  <c r="F11"/>
  <c r="E11"/>
  <c r="D11"/>
  <c r="C11"/>
  <c r="L14" i="61"/>
  <c r="Y12" i="72" l="1"/>
  <c r="X13"/>
  <c r="W13"/>
  <c r="V13"/>
  <c r="U13"/>
  <c r="T14"/>
  <c r="P13"/>
  <c r="O13"/>
  <c r="N13"/>
  <c r="M13"/>
  <c r="Q12"/>
  <c r="L14"/>
  <c r="G10"/>
  <c r="G11"/>
  <c r="B13"/>
  <c r="F12"/>
  <c r="E12"/>
  <c r="D12"/>
  <c r="C12"/>
  <c r="L15" i="61"/>
  <c r="U14" i="72" l="1"/>
  <c r="X14"/>
  <c r="W14"/>
  <c r="V14"/>
  <c r="T15"/>
  <c r="Y13"/>
  <c r="O14"/>
  <c r="P14"/>
  <c r="N14"/>
  <c r="M14"/>
  <c r="Q13"/>
  <c r="L15"/>
  <c r="G12"/>
  <c r="B14"/>
  <c r="F13"/>
  <c r="E13"/>
  <c r="D13"/>
  <c r="C13"/>
  <c r="L16" i="61"/>
  <c r="V15" i="72" l="1"/>
  <c r="U15"/>
  <c r="X15"/>
  <c r="W15"/>
  <c r="T16"/>
  <c r="Y14"/>
  <c r="P15"/>
  <c r="O15"/>
  <c r="N15"/>
  <c r="M15"/>
  <c r="L16"/>
  <c r="Q14"/>
  <c r="G13"/>
  <c r="B15"/>
  <c r="E14"/>
  <c r="D14"/>
  <c r="C14"/>
  <c r="F14"/>
  <c r="L17" i="61"/>
  <c r="W16" i="72" l="1"/>
  <c r="U16"/>
  <c r="X16"/>
  <c r="V16"/>
  <c r="Y15"/>
  <c r="P16"/>
  <c r="N16"/>
  <c r="M16"/>
  <c r="O16"/>
  <c r="Q15"/>
  <c r="G14"/>
  <c r="B16"/>
  <c r="N8" i="71" s="1"/>
  <c r="F15" i="72"/>
  <c r="E15"/>
  <c r="D15"/>
  <c r="C15"/>
  <c r="L18" i="61"/>
  <c r="Y16" i="72" l="1"/>
  <c r="Q16"/>
  <c r="G15"/>
  <c r="F16"/>
  <c r="E16"/>
  <c r="D16"/>
  <c r="C16"/>
  <c r="L19" i="61"/>
  <c r="G16" i="72" l="1"/>
  <c r="L20" i="61"/>
  <c r="L21" l="1"/>
  <c r="L22" l="1"/>
  <c r="L23" l="1"/>
  <c r="L24" l="1"/>
  <c r="L25" l="1"/>
  <c r="L26" l="1"/>
  <c r="L27" l="1"/>
  <c r="L28" l="1"/>
  <c r="L29" l="1"/>
  <c r="L30" l="1"/>
  <c r="L31" l="1"/>
  <c r="L32" l="1"/>
  <c r="L33" l="1"/>
  <c r="L34" l="1"/>
  <c r="L35" l="1"/>
  <c r="L36" l="1"/>
  <c r="L37" l="1"/>
  <c r="L38" l="1"/>
  <c r="L39" l="1"/>
  <c r="L40" l="1"/>
  <c r="L41" l="1"/>
  <c r="L42" l="1"/>
  <c r="L43" l="1"/>
  <c r="L44" l="1"/>
  <c r="L45" l="1"/>
  <c r="L46" l="1"/>
  <c r="L47" l="1"/>
  <c r="L48" l="1"/>
  <c r="L49" l="1"/>
  <c r="L50" l="1"/>
  <c r="L51" l="1"/>
  <c r="L52" l="1"/>
  <c r="L53" l="1"/>
  <c r="L54" l="1"/>
  <c r="L55" l="1"/>
  <c r="L56" l="1"/>
  <c r="L57" l="1"/>
  <c r="L58" l="1"/>
</calcChain>
</file>

<file path=xl/sharedStrings.xml><?xml version="1.0" encoding="utf-8"?>
<sst xmlns="http://schemas.openxmlformats.org/spreadsheetml/2006/main" count="119" uniqueCount="55">
  <si>
    <t>Week</t>
  </si>
  <si>
    <t>Calculations / Consolidation</t>
  </si>
  <si>
    <t>Actual Week</t>
  </si>
  <si>
    <t>User 1</t>
  </si>
  <si>
    <t>User 2</t>
  </si>
  <si>
    <t>User 3</t>
  </si>
  <si>
    <t>User 4</t>
  </si>
  <si>
    <t>U1</t>
  </si>
  <si>
    <t>U2</t>
  </si>
  <si>
    <t>U3</t>
  </si>
  <si>
    <t>U4</t>
  </si>
  <si>
    <t>KPI</t>
  </si>
  <si>
    <t>Time to answer</t>
  </si>
  <si>
    <t>AVG</t>
  </si>
  <si>
    <t>Abandon rate (%)</t>
  </si>
  <si>
    <t>Abandon Rate (%)</t>
  </si>
  <si>
    <t>FCR</t>
  </si>
  <si>
    <t>RAW DATA</t>
  </si>
  <si>
    <t>RAW USER DATA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</si>
  <si>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</si>
  <si>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</si>
  <si>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</si>
  <si>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</si>
  <si>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</si>
  <si>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</si>
  <si>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</si>
  <si>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</si>
  <si>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</si>
  <si>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5</t>
  </si>
  <si>
    <t>ref 6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</si>
  <si>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</si>
  <si>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</si>
  <si>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</si>
  <si>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</si>
  <si>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</si>
  <si>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</si>
  <si>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</si>
  <si>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</si>
  <si>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</si>
  <si>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</si>
  <si>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</si>
  <si>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</si>
  <si>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</si>
  <si>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</si>
  <si>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</si>
  <si>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GC_egy</t>
  </si>
  <si>
    <t>Num</t>
  </si>
  <si>
    <t>Skin 1</t>
  </si>
  <si>
    <t>Agent1</t>
  </si>
  <si>
    <t>Agent2</t>
  </si>
  <si>
    <t>Agent3</t>
  </si>
  <si>
    <t>Agent4</t>
  </si>
  <si>
    <t>Induvidual Variance</t>
  </si>
  <si>
    <t>SETUP</t>
  </si>
  <si>
    <t>Dashboard Calc</t>
  </si>
</sst>
</file>

<file path=xl/styles.xml><?xml version="1.0" encoding="utf-8"?>
<styleSheet xmlns="http://schemas.openxmlformats.org/spreadsheetml/2006/main">
  <numFmts count="4">
    <numFmt numFmtId="164" formatCode="ddd\,\ dd/mm/yy"/>
    <numFmt numFmtId="165" formatCode="&quot;Week &quot;00"/>
    <numFmt numFmtId="166" formatCode="&quot;W&quot;\ 00"/>
    <numFmt numFmtId="167" formatCode="0.0%"/>
  </numFmts>
  <fonts count="32">
    <font>
      <sz val="10"/>
      <name val="Arial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Segoe UI"/>
      <family val="2"/>
      <charset val="238"/>
    </font>
    <font>
      <b/>
      <sz val="12"/>
      <color indexed="8"/>
      <name val="Segoe UI"/>
      <family val="2"/>
      <charset val="238"/>
    </font>
    <font>
      <b/>
      <sz val="10"/>
      <color indexed="8"/>
      <name val="Segoe UI"/>
      <family val="2"/>
      <charset val="238"/>
    </font>
    <font>
      <sz val="10"/>
      <name val="Segoe UI"/>
      <family val="2"/>
      <charset val="238"/>
    </font>
    <font>
      <sz val="10"/>
      <name val="Arial"/>
      <family val="2"/>
      <charset val="238"/>
    </font>
    <font>
      <b/>
      <sz val="10"/>
      <name val="Segoe UI"/>
      <family val="2"/>
      <charset val="238"/>
    </font>
    <font>
      <b/>
      <sz val="20"/>
      <name val="Segoe UI"/>
      <family val="2"/>
      <charset val="238"/>
    </font>
    <font>
      <b/>
      <sz val="18"/>
      <name val="Segoe UI"/>
      <family val="2"/>
      <charset val="238"/>
    </font>
    <font>
      <b/>
      <sz val="12"/>
      <name val="Arial"/>
      <family val="2"/>
      <charset val="238"/>
    </font>
    <font>
      <sz val="12"/>
      <name val="Arial"/>
      <family val="2"/>
      <charset val="238"/>
    </font>
    <font>
      <b/>
      <i/>
      <sz val="14"/>
      <name val="Segoe UI"/>
      <family val="2"/>
      <charset val="238"/>
    </font>
    <font>
      <b/>
      <i/>
      <sz val="10"/>
      <name val="Segoe U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color indexed="8"/>
      <name val="Merriweather"/>
      <family val="1"/>
      <charset val="238"/>
    </font>
    <font>
      <b/>
      <u/>
      <sz val="11"/>
      <color indexed="8"/>
      <name val="Trebuchet MS"/>
      <family val="2"/>
      <charset val="238"/>
    </font>
    <font>
      <sz val="11"/>
      <color indexed="8"/>
      <name val="Trebuchet MS"/>
      <family val="2"/>
      <charset val="238"/>
    </font>
    <font>
      <sz val="11"/>
      <color indexed="8"/>
      <name val="Merriweather"/>
      <family val="1"/>
      <charset val="238"/>
    </font>
    <font>
      <b/>
      <sz val="10"/>
      <color indexed="8"/>
      <name val="Trebuchet MS"/>
      <family val="2"/>
      <charset val="238"/>
    </font>
    <font>
      <b/>
      <sz val="24"/>
      <color theme="1" tint="0.249977111117893"/>
      <name val="Trebuchet MS"/>
      <family val="2"/>
    </font>
    <font>
      <sz val="11"/>
      <color indexed="8"/>
      <name val="Trebuchet MS"/>
      <family val="2"/>
    </font>
    <font>
      <b/>
      <sz val="10"/>
      <name val="Trebuchet MS"/>
      <family val="2"/>
      <charset val="238"/>
    </font>
    <font>
      <b/>
      <sz val="14"/>
      <color indexed="8"/>
      <name val="Trebuchet MS"/>
      <family val="2"/>
    </font>
    <font>
      <sz val="10"/>
      <color indexed="8"/>
      <name val="Trebuchet MS"/>
      <family val="2"/>
      <charset val="238"/>
    </font>
    <font>
      <sz val="10"/>
      <name val="Trebuchet MS"/>
      <family val="2"/>
    </font>
    <font>
      <b/>
      <sz val="10"/>
      <name val="Trebuchet MS"/>
      <family val="2"/>
    </font>
    <font>
      <b/>
      <sz val="10"/>
      <color theme="1" tint="0.249977111117893"/>
      <name val="Trebuchet MS"/>
      <family val="2"/>
    </font>
    <font>
      <sz val="10"/>
      <color indexed="8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07">
    <xf numFmtId="0" fontId="0" fillId="0" borderId="0" xfId="0"/>
    <xf numFmtId="0" fontId="1" fillId="0" borderId="0" xfId="0" applyFont="1" applyAlignment="1" applyProtection="1">
      <alignment vertical="center"/>
    </xf>
    <xf numFmtId="0" fontId="3" fillId="0" borderId="0" xfId="0" applyFont="1" applyFill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left" vertical="center" wrapText="1" indent="2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0" fontId="3" fillId="0" borderId="6" xfId="0" applyFont="1" applyFill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166" fontId="3" fillId="0" borderId="4" xfId="0" applyNumberFormat="1" applyFont="1" applyFill="1" applyBorder="1" applyAlignment="1" applyProtection="1">
      <alignment horizontal="center" vertical="center"/>
      <protection hidden="1"/>
    </xf>
    <xf numFmtId="0" fontId="6" fillId="0" borderId="0" xfId="0" applyFont="1"/>
    <xf numFmtId="0" fontId="3" fillId="0" borderId="5" xfId="0" applyFont="1" applyBorder="1" applyAlignment="1" applyProtection="1">
      <alignment horizontal="center" vertical="center" wrapText="1"/>
      <protection hidden="1"/>
    </xf>
    <xf numFmtId="3" fontId="3" fillId="0" borderId="0" xfId="0" applyNumberFormat="1" applyFont="1" applyFill="1" applyAlignment="1" applyProtection="1">
      <alignment vertical="center"/>
      <protection hidden="1"/>
    </xf>
    <xf numFmtId="164" fontId="3" fillId="0" borderId="8" xfId="0" applyNumberFormat="1" applyFont="1" applyFill="1" applyBorder="1" applyAlignment="1" applyProtection="1">
      <alignment horizontal="center" vertical="center"/>
      <protection hidden="1"/>
    </xf>
    <xf numFmtId="166" fontId="3" fillId="0" borderId="9" xfId="0" applyNumberFormat="1" applyFont="1" applyFill="1" applyBorder="1" applyAlignment="1" applyProtection="1">
      <alignment horizontal="center" vertical="center"/>
      <protection hidden="1"/>
    </xf>
    <xf numFmtId="3" fontId="3" fillId="0" borderId="9" xfId="0" applyNumberFormat="1" applyFont="1" applyFill="1" applyBorder="1" applyAlignment="1" applyProtection="1">
      <alignment vertical="center"/>
      <protection hidden="1"/>
    </xf>
    <xf numFmtId="164" fontId="3" fillId="0" borderId="10" xfId="0" applyNumberFormat="1" applyFont="1" applyFill="1" applyBorder="1" applyAlignment="1" applyProtection="1">
      <alignment horizontal="center" vertical="center"/>
      <protection hidden="1"/>
    </xf>
    <xf numFmtId="164" fontId="3" fillId="0" borderId="11" xfId="0" applyNumberFormat="1" applyFont="1" applyFill="1" applyBorder="1" applyAlignment="1" applyProtection="1">
      <alignment horizontal="center" vertical="center"/>
      <protection hidden="1"/>
    </xf>
    <xf numFmtId="166" fontId="3" fillId="0" borderId="12" xfId="0" applyNumberFormat="1" applyFont="1" applyFill="1" applyBorder="1" applyAlignment="1" applyProtection="1">
      <alignment horizontal="center" vertical="center"/>
      <protection hidden="1"/>
    </xf>
    <xf numFmtId="10" fontId="3" fillId="0" borderId="0" xfId="1" applyNumberFormat="1" applyFont="1" applyFill="1" applyAlignment="1" applyProtection="1">
      <alignment vertical="center"/>
      <protection hidden="1"/>
    </xf>
    <xf numFmtId="166" fontId="3" fillId="0" borderId="0" xfId="0" applyNumberFormat="1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3" fillId="0" borderId="0" xfId="0" applyFont="1" applyBorder="1" applyAlignment="1" applyProtection="1">
      <alignment horizontal="center" vertical="center" wrapText="1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66" fontId="5" fillId="0" borderId="0" xfId="0" applyNumberFormat="1" applyFont="1" applyFill="1" applyAlignment="1" applyProtection="1">
      <alignment vertical="center"/>
      <protection hidden="1"/>
    </xf>
    <xf numFmtId="0" fontId="8" fillId="0" borderId="0" xfId="0" applyFont="1"/>
    <xf numFmtId="10" fontId="6" fillId="0" borderId="0" xfId="0" applyNumberFormat="1" applyFont="1"/>
    <xf numFmtId="10" fontId="3" fillId="0" borderId="0" xfId="0" applyNumberFormat="1" applyFont="1" applyFill="1" applyAlignment="1" applyProtection="1">
      <alignment vertical="center"/>
      <protection hidden="1"/>
    </xf>
    <xf numFmtId="0" fontId="5" fillId="0" borderId="7" xfId="0" applyFont="1" applyFill="1" applyBorder="1" applyAlignment="1" applyProtection="1">
      <alignment horizontal="left" vertical="center" wrapText="1" indent="2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left" vertical="center" indent="1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ill="1" applyProtection="1"/>
    <xf numFmtId="0" fontId="1" fillId="0" borderId="0" xfId="0" applyFont="1" applyFill="1" applyAlignment="1" applyProtection="1">
      <alignment vertical="center"/>
    </xf>
    <xf numFmtId="0" fontId="7" fillId="0" borderId="0" xfId="0" applyFont="1" applyFill="1" applyBorder="1"/>
    <xf numFmtId="0" fontId="7" fillId="0" borderId="0" xfId="0" applyFont="1" applyFill="1"/>
    <xf numFmtId="0" fontId="7" fillId="0" borderId="0" xfId="0" applyFont="1" applyFill="1" applyAlignment="1" applyProtection="1">
      <alignment vertical="center"/>
    </xf>
    <xf numFmtId="165" fontId="10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left" vertical="center" indent="1"/>
    </xf>
    <xf numFmtId="0" fontId="7" fillId="0" borderId="0" xfId="0" applyFont="1" applyFill="1" applyBorder="1" applyAlignment="1" applyProtection="1">
      <alignment horizontal="left" vertical="center" indent="1"/>
    </xf>
    <xf numFmtId="0" fontId="12" fillId="0" borderId="0" xfId="0" applyFont="1" applyFill="1" applyBorder="1" applyAlignment="1" applyProtection="1">
      <alignment horizontal="left" vertical="center" indent="1"/>
    </xf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Protection="1"/>
    <xf numFmtId="3" fontId="12" fillId="0" borderId="0" xfId="0" applyNumberFormat="1" applyFont="1" applyFill="1" applyBorder="1" applyAlignment="1" applyProtection="1">
      <alignment horizontal="left" vertical="center"/>
    </xf>
    <xf numFmtId="3" fontId="7" fillId="0" borderId="0" xfId="0" applyNumberFormat="1" applyFont="1" applyFill="1" applyBorder="1" applyAlignment="1" applyProtection="1">
      <alignment horizontal="right" vertical="center" wrapText="1"/>
    </xf>
    <xf numFmtId="3" fontId="12" fillId="0" borderId="0" xfId="0" applyNumberFormat="1" applyFont="1" applyFill="1" applyBorder="1" applyAlignment="1" applyProtection="1">
      <alignment horizontal="right" vertical="center"/>
    </xf>
    <xf numFmtId="0" fontId="8" fillId="0" borderId="0" xfId="0" applyFont="1" applyFill="1" applyBorder="1" applyAlignment="1" applyProtection="1">
      <alignment vertical="center"/>
    </xf>
    <xf numFmtId="0" fontId="14" fillId="0" borderId="0" xfId="0" applyFont="1"/>
    <xf numFmtId="0" fontId="3" fillId="0" borderId="0" xfId="0" applyFont="1" applyBorder="1" applyAlignment="1" applyProtection="1">
      <alignment horizontal="left" vertical="center" indent="1"/>
      <protection hidden="1"/>
    </xf>
    <xf numFmtId="166" fontId="3" fillId="0" borderId="0" xfId="0" applyNumberFormat="1" applyFont="1" applyBorder="1" applyAlignment="1" applyProtection="1">
      <alignment horizontal="right" vertical="center"/>
      <protection hidden="1"/>
    </xf>
    <xf numFmtId="0" fontId="3" fillId="0" borderId="0" xfId="0" applyFont="1" applyFill="1" applyBorder="1" applyAlignment="1" applyProtection="1">
      <alignment horizontal="left" vertical="center" wrapText="1" indent="2"/>
      <protection hidden="1"/>
    </xf>
    <xf numFmtId="0" fontId="8" fillId="0" borderId="0" xfId="0" applyFont="1" applyBorder="1"/>
    <xf numFmtId="0" fontId="6" fillId="0" borderId="0" xfId="0" applyFont="1" applyBorder="1"/>
    <xf numFmtId="9" fontId="6" fillId="0" borderId="0" xfId="0" applyNumberFormat="1" applyFont="1" applyBorder="1"/>
    <xf numFmtId="10" fontId="6" fillId="0" borderId="0" xfId="0" applyNumberFormat="1" applyFont="1" applyBorder="1"/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6" fillId="0" borderId="0" xfId="1" applyNumberFormat="1" applyFont="1"/>
    <xf numFmtId="9" fontId="6" fillId="0" borderId="0" xfId="0" applyNumberFormat="1" applyFont="1" applyAlignment="1">
      <alignment horizontal="left"/>
    </xf>
    <xf numFmtId="165" fontId="23" fillId="0" borderId="0" xfId="0" applyNumberFormat="1" applyFont="1" applyFill="1" applyBorder="1" applyAlignment="1" applyProtection="1">
      <alignment horizontal="left" vertical="center"/>
      <protection hidden="1"/>
    </xf>
    <xf numFmtId="165" fontId="23" fillId="0" borderId="0" xfId="0" applyNumberFormat="1" applyFont="1" applyFill="1" applyBorder="1" applyAlignment="1" applyProtection="1">
      <alignment vertical="center"/>
      <protection hidden="1"/>
    </xf>
    <xf numFmtId="167" fontId="6" fillId="0" borderId="0" xfId="1" applyNumberFormat="1" applyFont="1"/>
    <xf numFmtId="3" fontId="7" fillId="5" borderId="0" xfId="0" applyNumberFormat="1" applyFont="1" applyFill="1" applyBorder="1" applyAlignment="1" applyProtection="1">
      <alignment horizontal="right" vertical="center" wrapText="1"/>
    </xf>
    <xf numFmtId="0" fontId="7" fillId="5" borderId="0" xfId="0" applyFont="1" applyFill="1" applyBorder="1" applyAlignment="1" applyProtection="1">
      <alignment vertical="center"/>
    </xf>
    <xf numFmtId="3" fontId="12" fillId="5" borderId="0" xfId="0" applyNumberFormat="1" applyFont="1" applyFill="1" applyBorder="1" applyAlignment="1" applyProtection="1">
      <alignment horizontal="right" vertical="center"/>
    </xf>
    <xf numFmtId="0" fontId="1" fillId="0" borderId="0" xfId="0" applyFont="1" applyFill="1" applyBorder="1" applyAlignment="1" applyProtection="1">
      <alignment vertical="center"/>
    </xf>
    <xf numFmtId="0" fontId="0" fillId="0" borderId="0" xfId="0" applyBorder="1"/>
    <xf numFmtId="0" fontId="1" fillId="0" borderId="0" xfId="0" applyFont="1" applyBorder="1" applyAlignment="1" applyProtection="1">
      <alignment vertical="center"/>
    </xf>
    <xf numFmtId="0" fontId="0" fillId="0" borderId="0" xfId="0" applyFill="1" applyBorder="1"/>
    <xf numFmtId="3" fontId="27" fillId="0" borderId="0" xfId="0" applyNumberFormat="1" applyFont="1" applyFill="1" applyBorder="1" applyAlignment="1" applyProtection="1">
      <alignment horizontal="left" vertical="center"/>
    </xf>
    <xf numFmtId="0" fontId="18" fillId="0" borderId="0" xfId="0" applyFont="1" applyFill="1" applyBorder="1" applyAlignment="1" applyProtection="1">
      <alignment vertical="center"/>
    </xf>
    <xf numFmtId="0" fontId="21" fillId="0" borderId="0" xfId="0" applyFont="1" applyFill="1" applyBorder="1" applyAlignment="1" applyProtection="1">
      <alignment vertical="center"/>
    </xf>
    <xf numFmtId="0" fontId="20" fillId="0" borderId="0" xfId="0" applyFont="1" applyFill="1" applyBorder="1" applyAlignment="1" applyProtection="1">
      <alignment vertical="center"/>
    </xf>
    <xf numFmtId="3" fontId="24" fillId="0" borderId="0" xfId="0" applyNumberFormat="1" applyFont="1" applyFill="1" applyBorder="1" applyAlignment="1" applyProtection="1">
      <alignment vertical="center"/>
    </xf>
    <xf numFmtId="10" fontId="22" fillId="0" borderId="0" xfId="0" applyNumberFormat="1" applyFont="1" applyFill="1" applyBorder="1" applyAlignment="1" applyProtection="1">
      <alignment horizontal="right" vertical="center"/>
    </xf>
    <xf numFmtId="10" fontId="27" fillId="0" borderId="0" xfId="0" applyNumberFormat="1" applyFont="1" applyFill="1" applyBorder="1" applyAlignment="1" applyProtection="1">
      <alignment horizontal="left" vertical="center"/>
    </xf>
    <xf numFmtId="9" fontId="20" fillId="0" borderId="0" xfId="0" applyNumberFormat="1" applyFont="1" applyFill="1" applyBorder="1" applyAlignment="1" applyProtection="1">
      <alignment vertical="center"/>
    </xf>
    <xf numFmtId="9" fontId="24" fillId="0" borderId="0" xfId="0" applyNumberFormat="1" applyFont="1" applyFill="1" applyBorder="1" applyAlignment="1" applyProtection="1">
      <alignment vertical="center"/>
    </xf>
    <xf numFmtId="0" fontId="18" fillId="0" borderId="0" xfId="0" applyFont="1" applyBorder="1" applyAlignment="1" applyProtection="1">
      <alignment vertical="center"/>
    </xf>
    <xf numFmtId="0" fontId="29" fillId="5" borderId="0" xfId="0" applyFont="1" applyFill="1" applyBorder="1" applyAlignment="1" applyProtection="1">
      <alignment horizontal="center" vertical="center" wrapText="1"/>
    </xf>
    <xf numFmtId="0" fontId="28" fillId="5" borderId="0" xfId="0" applyFont="1" applyFill="1" applyBorder="1" applyAlignment="1" applyProtection="1">
      <alignment horizontal="center" vertical="center" wrapText="1"/>
    </xf>
    <xf numFmtId="0" fontId="28" fillId="0" borderId="0" xfId="0" applyFont="1" applyFill="1" applyBorder="1" applyAlignment="1" applyProtection="1">
      <alignment horizontal="left" vertical="center" wrapText="1"/>
    </xf>
    <xf numFmtId="167" fontId="31" fillId="0" borderId="0" xfId="0" applyNumberFormat="1" applyFont="1" applyFill="1" applyBorder="1" applyAlignment="1" applyProtection="1">
      <alignment horizontal="center" vertical="center"/>
    </xf>
    <xf numFmtId="0" fontId="26" fillId="0" borderId="0" xfId="0" applyFont="1" applyFill="1" applyBorder="1" applyAlignment="1" applyProtection="1">
      <alignment vertical="center" textRotation="90" wrapText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3" fontId="28" fillId="0" borderId="0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Border="1" applyAlignment="1" applyProtection="1">
      <alignment horizontal="center" vertical="center"/>
    </xf>
    <xf numFmtId="0" fontId="26" fillId="5" borderId="0" xfId="0" applyFont="1" applyFill="1" applyBorder="1" applyAlignment="1" applyProtection="1">
      <alignment horizontal="center" vertical="center" textRotation="90" wrapText="1"/>
    </xf>
    <xf numFmtId="0" fontId="1" fillId="0" borderId="0" xfId="0" applyFont="1" applyAlignment="1" applyProtection="1">
      <alignment horizontal="center" vertical="center"/>
    </xf>
    <xf numFmtId="0" fontId="19" fillId="5" borderId="0" xfId="0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Border="1" applyAlignment="1" applyProtection="1">
      <alignment horizontal="left" vertical="center"/>
    </xf>
    <xf numFmtId="0" fontId="28" fillId="0" borderId="0" xfId="0" applyFont="1" applyFill="1" applyBorder="1" applyAlignment="1" applyProtection="1">
      <alignment horizontal="left" vertical="center" wrapText="1"/>
    </xf>
    <xf numFmtId="165" fontId="30" fillId="5" borderId="0" xfId="0" applyNumberFormat="1" applyFont="1" applyFill="1" applyBorder="1" applyAlignment="1" applyProtection="1">
      <alignment horizontal="left" vertical="center" wrapText="1"/>
    </xf>
    <xf numFmtId="167" fontId="28" fillId="0" borderId="0" xfId="0" applyNumberFormat="1" applyFont="1" applyFill="1" applyBorder="1" applyAlignment="1" applyProtection="1">
      <alignment horizontal="center" vertical="center" wrapText="1"/>
    </xf>
    <xf numFmtId="0" fontId="5" fillId="0" borderId="13" xfId="0" applyFont="1" applyFill="1" applyBorder="1" applyAlignment="1" applyProtection="1">
      <alignment horizontal="center" vertical="center"/>
      <protection hidden="1"/>
    </xf>
    <xf numFmtId="0" fontId="5" fillId="0" borderId="14" xfId="0" applyFont="1" applyFill="1" applyBorder="1" applyAlignment="1" applyProtection="1">
      <alignment horizontal="center" vertical="center"/>
      <protection hidden="1"/>
    </xf>
    <xf numFmtId="0" fontId="5" fillId="0" borderId="15" xfId="0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5" fillId="0" borderId="16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414749"/>
      <rgbColor rgb="00008000"/>
      <rgbColor rgb="00CBCCCD"/>
      <rgbColor rgb="00808000"/>
      <rgbColor rgb="00800080"/>
      <rgbColor rgb="00008080"/>
      <rgbColor rgb="00C0C0C0"/>
      <rgbColor rgb="00808080"/>
      <rgbColor rgb="00FFCC00"/>
      <rgbColor rgb="00414B52"/>
      <rgbColor rgb="009D272A"/>
      <rgbColor rgb="00CBCCCD"/>
      <rgbColor rgb="0096999A"/>
      <rgbColor rgb="006B7072"/>
      <rgbColor rgb="00414749"/>
      <rgbColor rgb="00E2001A"/>
      <rgbColor rgb="00FFCC00"/>
      <rgbColor rgb="00414B52"/>
      <rgbColor rgb="009D272A"/>
      <rgbColor rgb="00CBCCCD"/>
      <rgbColor rgb="0096999A"/>
      <rgbColor rgb="006B7072"/>
      <rgbColor rgb="00008080"/>
      <rgbColor rgb="000000FF"/>
      <rgbColor rgb="0000CCFF"/>
      <rgbColor rgb="00CCFFFF"/>
      <rgbColor rgb="00CCFFCC"/>
      <rgbColor rgb="00FFFF99"/>
      <rgbColor rgb="0099CCFF"/>
      <rgbColor rgb="00DDDDD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C10330"/>
      <rgbColor rgb="00339966"/>
      <rgbColor rgb="00E2001A"/>
      <rgbColor rgb="00414B52"/>
      <rgbColor rgb="00FFCC00"/>
      <rgbColor rgb="00993366"/>
      <rgbColor rgb="0096999A"/>
      <rgbColor rgb="006B7072"/>
    </indexedColors>
    <mruColors>
      <color rgb="FFFF505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2512077294686E-2"/>
          <c:y val="0"/>
          <c:w val="0.93429949691490655"/>
          <c:h val="0.94512310841072922"/>
        </c:manualLayout>
      </c:layout>
      <c:barChart>
        <c:barDir val="col"/>
        <c:grouping val="clustered"/>
        <c:ser>
          <c:idx val="0"/>
          <c:order val="0"/>
          <c:spPr>
            <a:solidFill>
              <a:schemeClr val="bg1">
                <a:lumMod val="65000"/>
              </a:schemeClr>
            </a:solidFill>
            <a:ln w="25400" cap="flat" cmpd="sng" algn="ctr">
              <a:noFill/>
              <a:prstDash val="solid"/>
            </a:ln>
            <a:effectLst/>
          </c:spPr>
          <c:val>
            <c:numRef>
              <c:f>calc!$G$5:$G$16</c:f>
              <c:numCache>
                <c:formatCode>0</c:formatCode>
                <c:ptCount val="12"/>
                <c:pt idx="0">
                  <c:v>132</c:v>
                </c:pt>
                <c:pt idx="1">
                  <c:v>102.5</c:v>
                </c:pt>
                <c:pt idx="2">
                  <c:v>128.25</c:v>
                </c:pt>
                <c:pt idx="3">
                  <c:v>86.75</c:v>
                </c:pt>
                <c:pt idx="4">
                  <c:v>118.75</c:v>
                </c:pt>
                <c:pt idx="5">
                  <c:v>134</c:v>
                </c:pt>
                <c:pt idx="6">
                  <c:v>115.75</c:v>
                </c:pt>
                <c:pt idx="7">
                  <c:v>113.5</c:v>
                </c:pt>
                <c:pt idx="8">
                  <c:v>139.75</c:v>
                </c:pt>
                <c:pt idx="9">
                  <c:v>102</c:v>
                </c:pt>
                <c:pt idx="10">
                  <c:v>85.75</c:v>
                </c:pt>
                <c:pt idx="11">
                  <c:v>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76-4A8D-9D37-7927EA85C54B}"/>
            </c:ext>
          </c:extLst>
        </c:ser>
        <c:dLbls/>
        <c:gapWidth val="27"/>
        <c:axId val="111072768"/>
        <c:axId val="111074304"/>
      </c:barChart>
      <c:lineChart>
        <c:grouping val="standard"/>
        <c:ser>
          <c:idx val="1"/>
          <c:order val="1"/>
          <c:spPr>
            <a:ln w="19050" cmpd="sng">
              <a:solidFill>
                <a:srgbClr val="FF0000"/>
              </a:solidFill>
              <a:prstDash val="dash"/>
            </a:ln>
            <a:effectLst/>
          </c:spPr>
          <c:marker>
            <c:symbol val="none"/>
          </c:marker>
          <c:val>
            <c:numRef>
              <c:f>calc!$H$5:$H$16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776-4A8D-9D37-7927EA85C54B}"/>
            </c:ext>
          </c:extLst>
        </c:ser>
        <c:dLbls/>
        <c:marker val="1"/>
        <c:axId val="111072768"/>
        <c:axId val="111074304"/>
      </c:lineChart>
      <c:catAx>
        <c:axId val="111072768"/>
        <c:scaling>
          <c:orientation val="minMax"/>
        </c:scaling>
        <c:delete val="1"/>
        <c:axPos val="b"/>
        <c:tickLblPos val="none"/>
        <c:crossAx val="111074304"/>
        <c:crosses val="autoZero"/>
        <c:auto val="1"/>
        <c:lblAlgn val="ctr"/>
        <c:lblOffset val="100"/>
      </c:catAx>
      <c:valAx>
        <c:axId val="111074304"/>
        <c:scaling>
          <c:orientation val="minMax"/>
        </c:scaling>
        <c:delete val="1"/>
        <c:axPos val="l"/>
        <c:numFmt formatCode="0" sourceLinked="1"/>
        <c:tickLblPos val="none"/>
        <c:crossAx val="111072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/>
  </c:spPr>
  <c:txPr>
    <a:bodyPr/>
    <a:lstStyle/>
    <a:p>
      <a:pPr>
        <a:defRPr>
          <a:ln>
            <a:noFill/>
          </a:ln>
          <a:noFill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2947659850932534E-2"/>
          <c:y val="0"/>
          <c:w val="0.93429949691490655"/>
          <c:h val="0.94512310841072922"/>
        </c:manualLayout>
      </c:layout>
      <c:barChart>
        <c:barDir val="col"/>
        <c:grouping val="clustered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 w="25400" cap="flat" cmpd="sng" algn="ctr">
              <a:noFill/>
              <a:prstDash val="solid"/>
            </a:ln>
            <a:effectLst/>
          </c:spPr>
          <c:val>
            <c:numRef>
              <c:f>calc!$Q$5:$Q$16</c:f>
              <c:numCache>
                <c:formatCode>0.00%</c:formatCode>
                <c:ptCount val="12"/>
                <c:pt idx="0">
                  <c:v>4.1250000000000002E-2</c:v>
                </c:pt>
                <c:pt idx="1">
                  <c:v>4.1250000000000002E-2</c:v>
                </c:pt>
                <c:pt idx="2">
                  <c:v>4.6249999999999999E-2</c:v>
                </c:pt>
                <c:pt idx="3">
                  <c:v>3.3000000000000002E-2</c:v>
                </c:pt>
                <c:pt idx="4">
                  <c:v>5.525E-2</c:v>
                </c:pt>
                <c:pt idx="5">
                  <c:v>7.0250000000000007E-2</c:v>
                </c:pt>
                <c:pt idx="6">
                  <c:v>6.0249999999999998E-2</c:v>
                </c:pt>
                <c:pt idx="7">
                  <c:v>6.3500000000000001E-2</c:v>
                </c:pt>
                <c:pt idx="8">
                  <c:v>4.8250000000000001E-2</c:v>
                </c:pt>
                <c:pt idx="9">
                  <c:v>2.8500000000000004E-2</c:v>
                </c:pt>
                <c:pt idx="10">
                  <c:v>5.8749999999999997E-2</c:v>
                </c:pt>
                <c:pt idx="11">
                  <c:v>6.3250000000000001E-2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B0-41ED-B3A5-7037DCAA8A72}"/>
            </c:ext>
          </c:extLst>
        </c:ser>
        <c:dLbls/>
        <c:gapWidth val="27"/>
        <c:axId val="112102784"/>
        <c:axId val="112125056"/>
      </c:barChart>
      <c:lineChart>
        <c:grouping val="standard"/>
        <c:ser>
          <c:idx val="1"/>
          <c:order val="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val>
            <c:numRef>
              <c:f>calc!$R$5:$R$16</c:f>
              <c:numCache>
                <c:formatCode>0%</c:formatCode>
                <c:ptCount val="12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CB0-41ED-B3A5-7037DCAA8A72}"/>
            </c:ext>
          </c:extLst>
        </c:ser>
        <c:dLbls/>
        <c:marker val="1"/>
        <c:axId val="112102784"/>
        <c:axId val="112125056"/>
      </c:lineChart>
      <c:catAx>
        <c:axId val="112102784"/>
        <c:scaling>
          <c:orientation val="minMax"/>
        </c:scaling>
        <c:delete val="1"/>
        <c:axPos val="b"/>
        <c:tickLblPos val="none"/>
        <c:crossAx val="112125056"/>
        <c:crosses val="autoZero"/>
        <c:auto val="1"/>
        <c:lblAlgn val="ctr"/>
        <c:lblOffset val="100"/>
      </c:catAx>
      <c:valAx>
        <c:axId val="112125056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0.00%" sourceLinked="1"/>
        <c:tickLblPos val="none"/>
        <c:crossAx val="1121027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2512077294686E-2"/>
          <c:y val="0"/>
          <c:w val="0.93429949691490655"/>
          <c:h val="0.94512310841072922"/>
        </c:manualLayout>
      </c:layout>
      <c:barChart>
        <c:barDir val="col"/>
        <c:grouping val="clustered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25400" cap="flat" cmpd="sng" algn="ctr">
              <a:noFill/>
              <a:prstDash val="solid"/>
            </a:ln>
            <a:effectLst/>
          </c:spPr>
          <c:val>
            <c:numRef>
              <c:f>calc!$Y$5:$Y$16</c:f>
              <c:numCache>
                <c:formatCode>0.00%</c:formatCode>
                <c:ptCount val="12"/>
                <c:pt idx="0">
                  <c:v>0.911775</c:v>
                </c:pt>
                <c:pt idx="1">
                  <c:v>0.91517500000000007</c:v>
                </c:pt>
                <c:pt idx="2">
                  <c:v>0.91402499999999998</c:v>
                </c:pt>
                <c:pt idx="3">
                  <c:v>0.91400000000000003</c:v>
                </c:pt>
                <c:pt idx="4">
                  <c:v>0.91739999999999999</c:v>
                </c:pt>
                <c:pt idx="5">
                  <c:v>0.91579999999999995</c:v>
                </c:pt>
                <c:pt idx="6">
                  <c:v>0.91380000000000006</c:v>
                </c:pt>
                <c:pt idx="7">
                  <c:v>0.92120000000000002</c:v>
                </c:pt>
                <c:pt idx="8">
                  <c:v>0.91325000000000001</c:v>
                </c:pt>
                <c:pt idx="9">
                  <c:v>0.91567500000000002</c:v>
                </c:pt>
                <c:pt idx="10">
                  <c:v>0.91112499999999996</c:v>
                </c:pt>
                <c:pt idx="11">
                  <c:v>0.91339999999999999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321-4DF3-AD38-B539387C2A62}"/>
            </c:ext>
          </c:extLst>
        </c:ser>
        <c:dLbls/>
        <c:gapWidth val="27"/>
        <c:axId val="113650304"/>
        <c:axId val="113664384"/>
      </c:barChart>
      <c:lineChart>
        <c:grouping val="standard"/>
        <c:ser>
          <c:idx val="1"/>
          <c:order val="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val>
            <c:numRef>
              <c:f>calc!$Z$5:$Z$16</c:f>
              <c:numCache>
                <c:formatCode>0.00%</c:formatCode>
                <c:ptCount val="12"/>
                <c:pt idx="0">
                  <c:v>0.91</c:v>
                </c:pt>
                <c:pt idx="1">
                  <c:v>0.91</c:v>
                </c:pt>
                <c:pt idx="2">
                  <c:v>0.91</c:v>
                </c:pt>
                <c:pt idx="3">
                  <c:v>0.91</c:v>
                </c:pt>
                <c:pt idx="4">
                  <c:v>0.91</c:v>
                </c:pt>
                <c:pt idx="5">
                  <c:v>0.91</c:v>
                </c:pt>
                <c:pt idx="6">
                  <c:v>0.91</c:v>
                </c:pt>
                <c:pt idx="7">
                  <c:v>0.91</c:v>
                </c:pt>
                <c:pt idx="8">
                  <c:v>0.91</c:v>
                </c:pt>
                <c:pt idx="9">
                  <c:v>0.91</c:v>
                </c:pt>
                <c:pt idx="10">
                  <c:v>0.91</c:v>
                </c:pt>
                <c:pt idx="11">
                  <c:v>0.91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321-4DF3-AD38-B539387C2A62}"/>
            </c:ext>
          </c:extLst>
        </c:ser>
        <c:dLbls/>
        <c:marker val="1"/>
        <c:axId val="113650304"/>
        <c:axId val="113664384"/>
      </c:lineChart>
      <c:catAx>
        <c:axId val="113650304"/>
        <c:scaling>
          <c:orientation val="minMax"/>
        </c:scaling>
        <c:delete val="1"/>
        <c:axPos val="b"/>
        <c:tickLblPos val="none"/>
        <c:crossAx val="113664384"/>
        <c:crosses val="autoZero"/>
        <c:auto val="1"/>
        <c:lblAlgn val="ctr"/>
        <c:lblOffset val="100"/>
      </c:catAx>
      <c:valAx>
        <c:axId val="113664384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0.00%" sourceLinked="1"/>
        <c:tickLblPos val="none"/>
        <c:crossAx val="11365030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Scroll" dx="22" fmlaLink="data!$C$4" max="48" min="1" page="10" val="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4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2.svg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43294</xdr:colOff>
      <xdr:row>8</xdr:row>
      <xdr:rowOff>294409</xdr:rowOff>
    </xdr:from>
    <xdr:to>
      <xdr:col>17</xdr:col>
      <xdr:colOff>242454</xdr:colOff>
      <xdr:row>11</xdr:row>
      <xdr:rowOff>17318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29149</xdr:colOff>
      <xdr:row>11</xdr:row>
      <xdr:rowOff>21936</xdr:rowOff>
    </xdr:from>
    <xdr:to>
      <xdr:col>17</xdr:col>
      <xdr:colOff>207818</xdr:colOff>
      <xdr:row>12</xdr:row>
      <xdr:rowOff>25977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3175</xdr:colOff>
      <xdr:row>11</xdr:row>
      <xdr:rowOff>363682</xdr:rowOff>
    </xdr:from>
    <xdr:to>
      <xdr:col>17</xdr:col>
      <xdr:colOff>242454</xdr:colOff>
      <xdr:row>14</xdr:row>
      <xdr:rowOff>84139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133351</xdr:colOff>
      <xdr:row>7</xdr:row>
      <xdr:rowOff>200951</xdr:rowOff>
    </xdr:from>
    <xdr:to>
      <xdr:col>4</xdr:col>
      <xdr:colOff>238125</xdr:colOff>
      <xdr:row>9</xdr:row>
      <xdr:rowOff>7144</xdr:rowOff>
    </xdr:to>
    <xdr:pic>
      <xdr:nvPicPr>
        <xdr:cNvPr id="10" name="Graphic 9" descr="Call center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tretch>
          <a:fillRect/>
        </a:stretch>
      </xdr:blipFill>
      <xdr:spPr>
        <a:xfrm>
          <a:off x="1581151" y="1601126"/>
          <a:ext cx="476249" cy="482468"/>
        </a:xfrm>
        <a:prstGeom prst="rect">
          <a:avLst/>
        </a:prstGeom>
      </xdr:spPr>
    </xdr:pic>
    <xdr:clientData/>
  </xdr:twoCellAnchor>
  <xdr:twoCellAnchor editAs="oneCell">
    <xdr:from>
      <xdr:col>1</xdr:col>
      <xdr:colOff>67540</xdr:colOff>
      <xdr:row>16</xdr:row>
      <xdr:rowOff>60613</xdr:rowOff>
    </xdr:from>
    <xdr:to>
      <xdr:col>1</xdr:col>
      <xdr:colOff>771081</xdr:colOff>
      <xdr:row>18</xdr:row>
      <xdr:rowOff>251113</xdr:rowOff>
    </xdr:to>
    <xdr:pic>
      <xdr:nvPicPr>
        <xdr:cNvPr id="3" name="Graphic 2" descr="Bullseye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7"/>
            </a:ext>
          </a:extLst>
        </a:blip>
        <a:stretch>
          <a:fillRect/>
        </a:stretch>
      </xdr:blipFill>
      <xdr:spPr>
        <a:xfrm>
          <a:off x="786245" y="3870613"/>
          <a:ext cx="703541" cy="710045"/>
        </a:xfrm>
        <a:prstGeom prst="rect">
          <a:avLst/>
        </a:prstGeom>
      </xdr:spPr>
    </xdr:pic>
    <xdr:clientData/>
  </xdr:twoCellAnchor>
  <xdr:twoCellAnchor editAs="oneCell">
    <xdr:from>
      <xdr:col>17</xdr:col>
      <xdr:colOff>277090</xdr:colOff>
      <xdr:row>7</xdr:row>
      <xdr:rowOff>129886</xdr:rowOff>
    </xdr:from>
    <xdr:to>
      <xdr:col>17</xdr:col>
      <xdr:colOff>675408</xdr:colOff>
      <xdr:row>8</xdr:row>
      <xdr:rowOff>216477</xdr:rowOff>
    </xdr:to>
    <xdr:pic macro="[0]!HelpSwitcher">
      <xdr:nvPicPr>
        <xdr:cNvPr id="4" name="Graphic 3" descr="Help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8719704" y="1541318"/>
          <a:ext cx="398318" cy="398318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121227</xdr:colOff>
      <xdr:row>7</xdr:row>
      <xdr:rowOff>216477</xdr:rowOff>
    </xdr:from>
    <xdr:to>
      <xdr:col>6</xdr:col>
      <xdr:colOff>226001</xdr:colOff>
      <xdr:row>9</xdr:row>
      <xdr:rowOff>22670</xdr:rowOff>
    </xdr:to>
    <xdr:pic>
      <xdr:nvPicPr>
        <xdr:cNvPr id="17" name="Graphic 16" descr="Call center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tretch>
          <a:fillRect/>
        </a:stretch>
      </xdr:blipFill>
      <xdr:spPr>
        <a:xfrm>
          <a:off x="2537113" y="1627909"/>
          <a:ext cx="477115" cy="481602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7</xdr:row>
      <xdr:rowOff>225136</xdr:rowOff>
    </xdr:from>
    <xdr:to>
      <xdr:col>8</xdr:col>
      <xdr:colOff>200024</xdr:colOff>
      <xdr:row>10</xdr:row>
      <xdr:rowOff>5352</xdr:rowOff>
    </xdr:to>
    <xdr:pic>
      <xdr:nvPicPr>
        <xdr:cNvPr id="18" name="Graphic 17" descr="Call center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tretch>
          <a:fillRect/>
        </a:stretch>
      </xdr:blipFill>
      <xdr:spPr>
        <a:xfrm>
          <a:off x="3255818" y="1636568"/>
          <a:ext cx="477115" cy="481602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</xdr:colOff>
      <xdr:row>7</xdr:row>
      <xdr:rowOff>221673</xdr:rowOff>
    </xdr:from>
    <xdr:to>
      <xdr:col>10</xdr:col>
      <xdr:colOff>161924</xdr:colOff>
      <xdr:row>10</xdr:row>
      <xdr:rowOff>1889</xdr:rowOff>
    </xdr:to>
    <xdr:pic>
      <xdr:nvPicPr>
        <xdr:cNvPr id="19" name="Graphic 18" descr="Call center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tretch>
          <a:fillRect/>
        </a:stretch>
      </xdr:blipFill>
      <xdr:spPr>
        <a:xfrm>
          <a:off x="3962400" y="1633105"/>
          <a:ext cx="477115" cy="481602"/>
        </a:xfrm>
        <a:prstGeom prst="rect">
          <a:avLst/>
        </a:prstGeom>
      </xdr:spPr>
    </xdr:pic>
    <xdr:clientData/>
  </xdr:twoCellAnchor>
  <xdr:twoCellAnchor>
    <xdr:from>
      <xdr:col>1</xdr:col>
      <xdr:colOff>225137</xdr:colOff>
      <xdr:row>8</xdr:row>
      <xdr:rowOff>216478</xdr:rowOff>
    </xdr:from>
    <xdr:to>
      <xdr:col>16</xdr:col>
      <xdr:colOff>471181</xdr:colOff>
      <xdr:row>20</xdr:row>
      <xdr:rowOff>95249</xdr:rowOff>
    </xdr:to>
    <xdr:grpSp>
      <xdr:nvGrpSpPr>
        <xdr:cNvPr id="33" name="HelpBox" hidden="1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GrpSpPr/>
      </xdr:nvGrpSpPr>
      <xdr:grpSpPr>
        <a:xfrm>
          <a:off x="943842" y="1939637"/>
          <a:ext cx="7277225" cy="3125930"/>
          <a:chOff x="954974" y="1619671"/>
          <a:chExt cx="6692048" cy="3164659"/>
        </a:xfrm>
      </xdr:grpSpPr>
      <xdr:sp macro="" textlink="">
        <xdr:nvSpPr>
          <xdr:cNvPr id="34" name="Rounded Rectangular Callout 15" hidden="1">
            <a:extLst>
              <a:ext uri="{FF2B5EF4-FFF2-40B4-BE49-F238E27FC236}">
                <a16:creationId xmlns:a16="http://schemas.microsoft.com/office/drawing/2014/main" xmlns="" id="{00000000-0008-0000-0100-000022000000}"/>
              </a:ext>
            </a:extLst>
          </xdr:cNvPr>
          <xdr:cNvSpPr/>
        </xdr:nvSpPr>
        <xdr:spPr>
          <a:xfrm>
            <a:off x="954974" y="2846962"/>
            <a:ext cx="1085850" cy="494710"/>
          </a:xfrm>
          <a:prstGeom prst="wedgeRoundRectCallout">
            <a:avLst>
              <a:gd name="adj1" fmla="val -21864"/>
              <a:gd name="adj2" fmla="val 68329"/>
              <a:gd name="adj3" fmla="val 16667"/>
            </a:avLst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2">
                    <a:lumMod val="25000"/>
                  </a:schemeClr>
                </a:solidFill>
              </a:rPr>
              <a:t>Explanation</a:t>
            </a:r>
            <a:r>
              <a:rPr lang="en-US" sz="800" baseline="0">
                <a:solidFill>
                  <a:schemeClr val="bg2">
                    <a:lumMod val="25000"/>
                  </a:schemeClr>
                </a:solidFill>
              </a:rPr>
              <a:t> no.4.</a:t>
            </a:r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">
        <xdr:nvSpPr>
          <xdr:cNvPr id="35" name="Rounded Rectangular Callout 18" hidden="1">
            <a:extLst>
              <a:ext uri="{FF2B5EF4-FFF2-40B4-BE49-F238E27FC236}">
                <a16:creationId xmlns:a16="http://schemas.microsoft.com/office/drawing/2014/main" xmlns="" id="{00000000-0008-0000-0100-000023000000}"/>
              </a:ext>
            </a:extLst>
          </xdr:cNvPr>
          <xdr:cNvSpPr/>
        </xdr:nvSpPr>
        <xdr:spPr>
          <a:xfrm>
            <a:off x="6561172" y="1619671"/>
            <a:ext cx="1085850" cy="390525"/>
          </a:xfrm>
          <a:prstGeom prst="wedgeRoundRectCallout">
            <a:avLst>
              <a:gd name="adj1" fmla="val 19364"/>
              <a:gd name="adj2" fmla="val -70695"/>
              <a:gd name="adj3" fmla="val 16667"/>
            </a:avLst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2">
                    <a:lumMod val="25000"/>
                  </a:schemeClr>
                </a:solidFill>
              </a:rPr>
              <a:t>Explanation no.1.</a:t>
            </a:r>
          </a:p>
        </xdr:txBody>
      </xdr:sp>
      <xdr:sp macro="" textlink="">
        <xdr:nvSpPr>
          <xdr:cNvPr id="36" name="Rounded Rectangular Callout 19" hidden="1">
            <a:extLst>
              <a:ext uri="{FF2B5EF4-FFF2-40B4-BE49-F238E27FC236}">
                <a16:creationId xmlns:a16="http://schemas.microsoft.com/office/drawing/2014/main" xmlns="" id="{00000000-0008-0000-0100-000024000000}"/>
              </a:ext>
            </a:extLst>
          </xdr:cNvPr>
          <xdr:cNvSpPr/>
        </xdr:nvSpPr>
        <xdr:spPr>
          <a:xfrm>
            <a:off x="2069121" y="4393805"/>
            <a:ext cx="1085850" cy="390525"/>
          </a:xfrm>
          <a:prstGeom prst="wedgeRoundRectCallout">
            <a:avLst>
              <a:gd name="adj1" fmla="val 19364"/>
              <a:gd name="adj2" fmla="val -70695"/>
              <a:gd name="adj3" fmla="val 16667"/>
            </a:avLst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Explanation</a:t>
            </a:r>
            <a:r>
              <a:rPr lang="en-US" sz="9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no.3</a:t>
            </a:r>
            <a:endParaRPr lang="en-US" sz="5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">
        <xdr:nvSpPr>
          <xdr:cNvPr id="37" name="Rounded Rectangular Callout 20" hidden="1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>
          <a:xfrm>
            <a:off x="5031924" y="4350228"/>
            <a:ext cx="1070698" cy="390271"/>
          </a:xfrm>
          <a:prstGeom prst="wedgeRoundRectCallout">
            <a:avLst>
              <a:gd name="adj1" fmla="val 19364"/>
              <a:gd name="adj2" fmla="val -70695"/>
              <a:gd name="adj3" fmla="val 16667"/>
            </a:avLst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2">
                    <a:lumMod val="25000"/>
                  </a:schemeClr>
                </a:solidFill>
              </a:rPr>
              <a:t>Explanation no.2.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>
            <a:alpha val="7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>
            <a:alpha val="7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EX2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18.42578125" style="59" bestFit="1" customWidth="1"/>
    <col min="2" max="2" width="3.5703125" style="59" bestFit="1" customWidth="1"/>
    <col min="3" max="5" width="2" style="59" bestFit="1" customWidth="1"/>
    <col min="6" max="6" width="4.42578125" style="59" bestFit="1" customWidth="1"/>
    <col min="7" max="7" width="4.7109375" style="59" bestFit="1" customWidth="1"/>
    <col min="8" max="8" width="4.140625" style="59" bestFit="1" customWidth="1"/>
    <col min="9" max="9" width="7.28515625" style="59" bestFit="1" customWidth="1"/>
    <col min="10" max="10" width="9" style="59" bestFit="1" customWidth="1"/>
    <col min="11" max="11" width="10.42578125" style="59" bestFit="1" customWidth="1"/>
    <col min="12" max="12" width="7.42578125" style="59" bestFit="1" customWidth="1"/>
    <col min="13" max="14" width="5" style="59" bestFit="1" customWidth="1"/>
    <col min="15" max="17" width="6.85546875" style="59" bestFit="1" customWidth="1"/>
    <col min="18" max="18" width="4.7109375" style="59" bestFit="1" customWidth="1"/>
    <col min="19" max="19" width="11.85546875" style="59" bestFit="1" customWidth="1"/>
    <col min="20" max="20" width="11.5703125" style="59" bestFit="1" customWidth="1"/>
    <col min="21" max="21" width="9" style="59" bestFit="1" customWidth="1"/>
    <col min="22" max="22" width="10.140625" style="59" bestFit="1" customWidth="1"/>
    <col min="23" max="25" width="9.140625" style="59"/>
    <col min="26" max="26" width="20.42578125" style="59" bestFit="1" customWidth="1"/>
    <col min="27" max="27" width="11.85546875" style="59" bestFit="1" customWidth="1"/>
    <col min="28" max="28" width="11.5703125" style="59" bestFit="1" customWidth="1"/>
    <col min="29" max="29" width="9" style="59" bestFit="1" customWidth="1"/>
    <col min="30" max="30" width="10.140625" style="59" bestFit="1" customWidth="1"/>
    <col min="31" max="32" width="6.42578125" style="59" bestFit="1" customWidth="1"/>
    <col min="33" max="33" width="4.28515625" style="59" bestFit="1" customWidth="1"/>
    <col min="34" max="35" width="7.85546875" style="59" bestFit="1" customWidth="1"/>
    <col min="36" max="37" width="6.42578125" style="59" bestFit="1" customWidth="1"/>
    <col min="38" max="38" width="4.28515625" style="59" bestFit="1" customWidth="1"/>
    <col min="39" max="40" width="7.85546875" style="59" bestFit="1" customWidth="1"/>
    <col min="41" max="50" width="9.140625" style="59"/>
  </cols>
  <sheetData>
    <row r="1" spans="1:50 1501:1506" s="56" customFormat="1" ht="15">
      <c r="A1" s="54" t="s">
        <v>19</v>
      </c>
      <c r="B1" s="54" t="s">
        <v>20</v>
      </c>
      <c r="C1" s="54">
        <v>1</v>
      </c>
      <c r="D1" s="54">
        <v>2</v>
      </c>
      <c r="E1" s="54">
        <v>3</v>
      </c>
      <c r="F1" s="54" t="s">
        <v>21</v>
      </c>
      <c r="G1" s="54" t="s">
        <v>22</v>
      </c>
      <c r="H1" s="54" t="s">
        <v>23</v>
      </c>
      <c r="I1" s="54" t="s">
        <v>24</v>
      </c>
      <c r="J1" s="54" t="s">
        <v>25</v>
      </c>
      <c r="K1" s="54" t="s">
        <v>26</v>
      </c>
      <c r="L1" s="54" t="s">
        <v>27</v>
      </c>
      <c r="M1" s="54" t="s">
        <v>28</v>
      </c>
      <c r="N1" s="54" t="s">
        <v>29</v>
      </c>
      <c r="O1" s="55" t="s">
        <v>30</v>
      </c>
      <c r="P1" s="54" t="s">
        <v>31</v>
      </c>
      <c r="Q1" s="54" t="s">
        <v>32</v>
      </c>
      <c r="R1" s="54" t="s">
        <v>33</v>
      </c>
      <c r="S1" s="54" t="s">
        <v>34</v>
      </c>
      <c r="T1" s="54" t="s">
        <v>35</v>
      </c>
      <c r="U1" s="54" t="s">
        <v>36</v>
      </c>
      <c r="V1" s="54" t="s">
        <v>37</v>
      </c>
      <c r="W1" s="58"/>
      <c r="X1" s="58"/>
      <c r="Y1" s="58"/>
      <c r="Z1" s="54" t="s">
        <v>38</v>
      </c>
      <c r="AA1" s="54" t="s">
        <v>34</v>
      </c>
      <c r="AB1" s="54" t="s">
        <v>35</v>
      </c>
      <c r="AC1" s="57" t="s">
        <v>36</v>
      </c>
      <c r="AD1" s="54" t="s">
        <v>37</v>
      </c>
      <c r="AE1" s="57" t="s">
        <v>39</v>
      </c>
      <c r="AF1" s="57" t="s">
        <v>40</v>
      </c>
      <c r="AG1" s="57" t="s">
        <v>41</v>
      </c>
      <c r="AH1" s="57" t="s">
        <v>42</v>
      </c>
      <c r="AI1" s="57" t="s">
        <v>43</v>
      </c>
      <c r="AJ1" s="57" t="s">
        <v>39</v>
      </c>
      <c r="AK1" s="57" t="s">
        <v>40</v>
      </c>
      <c r="AL1" s="57" t="s">
        <v>41</v>
      </c>
      <c r="AM1" s="57" t="s">
        <v>42</v>
      </c>
      <c r="AN1" s="57" t="s">
        <v>43</v>
      </c>
      <c r="AO1" s="58"/>
      <c r="AP1" s="58"/>
      <c r="AQ1" s="58"/>
      <c r="AR1" s="58"/>
      <c r="AS1" s="58"/>
      <c r="AT1" s="58"/>
      <c r="AU1" s="58"/>
      <c r="AV1" s="58"/>
      <c r="AW1" s="58"/>
      <c r="AX1" s="58"/>
      <c r="BES1" s="54" t="s">
        <v>44</v>
      </c>
      <c r="BET1" s="54" t="s">
        <v>34</v>
      </c>
      <c r="BEU1" s="54" t="s">
        <v>35</v>
      </c>
      <c r="BEV1" s="57" t="s">
        <v>36</v>
      </c>
      <c r="BEW1" s="54" t="s">
        <v>37</v>
      </c>
      <c r="BEX1" s="57" t="s">
        <v>42</v>
      </c>
    </row>
    <row r="2" spans="1:50 1501:1506">
      <c r="A2" s="59" t="s">
        <v>45</v>
      </c>
      <c r="B2" s="59">
        <f>55</f>
        <v>55</v>
      </c>
      <c r="C2" s="59">
        <f>B2-F2</f>
        <v>55</v>
      </c>
      <c r="D2" s="59">
        <f>H2/50</f>
        <v>2</v>
      </c>
      <c r="E2" s="59">
        <f>1.5*H2-C2-D2</f>
        <v>93</v>
      </c>
      <c r="F2" s="59">
        <v>0</v>
      </c>
      <c r="G2" s="59">
        <v>100</v>
      </c>
      <c r="H2" s="59">
        <f>G2-F2</f>
        <v>100</v>
      </c>
      <c r="I2" s="59" t="s">
        <v>46</v>
      </c>
      <c r="J2" s="59">
        <v>0</v>
      </c>
      <c r="K2" s="59">
        <v>9</v>
      </c>
      <c r="L2" s="59">
        <v>15</v>
      </c>
      <c r="M2" s="59">
        <v>70</v>
      </c>
      <c r="N2" s="59">
        <v>30</v>
      </c>
      <c r="O2" s="59">
        <v>255</v>
      </c>
      <c r="P2" s="59">
        <v>65535</v>
      </c>
      <c r="Q2" s="59">
        <v>65280</v>
      </c>
      <c r="R2" s="59" t="s">
        <v>47</v>
      </c>
      <c r="S2" s="59" t="e">
        <f ca="1">SUBSTITUTE(MID(_xlfn.FORMULATEXT(V2),2,FIND("!",_xlfn.FORMULATEXT(V2),1)-2), "'","")</f>
        <v>#NAME?</v>
      </c>
      <c r="T2" s="59" t="e">
        <f ca="1" xml:space="preserve"> _xlfn.SHEET(#REF!)</f>
        <v>#NAME?</v>
      </c>
      <c r="V2" s="59" t="e">
        <f>#REF!</f>
        <v>#REF!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009">
    <tabColor theme="8" tint="0.59999389629810485"/>
    <pageSetUpPr fitToPage="1"/>
  </sheetPr>
  <dimension ref="B1:X39"/>
  <sheetViews>
    <sheetView showGridLines="0" tabSelected="1" topLeftCell="A2" zoomScale="110" zoomScaleNormal="110" workbookViewId="0">
      <selection activeCell="U20" sqref="U20"/>
    </sheetView>
  </sheetViews>
  <sheetFormatPr defaultColWidth="10.7109375" defaultRowHeight="12.75"/>
  <cols>
    <col min="2" max="2" width="12.7109375" style="32" customWidth="1"/>
    <col min="3" max="3" width="3.42578125" style="32" customWidth="1"/>
    <col min="4" max="11" width="5.5703125" style="1" customWidth="1"/>
    <col min="12" max="12" width="1.140625" style="1" customWidth="1"/>
    <col min="13" max="13" width="0.5703125" style="1" customWidth="1"/>
    <col min="14" max="14" width="19.7109375" style="1" customWidth="1"/>
    <col min="15" max="15" width="12.140625" style="1" customWidth="1"/>
    <col min="16" max="16" width="11" bestFit="1" customWidth="1"/>
    <col min="17" max="17" width="8.5703125" customWidth="1"/>
    <col min="18" max="18" width="11" bestFit="1" customWidth="1"/>
    <col min="19" max="19" width="0.85546875" customWidth="1"/>
    <col min="20" max="20" width="1.85546875" customWidth="1"/>
    <col min="31" max="31" width="21.7109375" bestFit="1" customWidth="1"/>
    <col min="32" max="32" width="8.5703125" bestFit="1" customWidth="1"/>
    <col min="33" max="33" width="7.42578125" bestFit="1" customWidth="1"/>
    <col min="34" max="34" width="8.5703125" bestFit="1" customWidth="1"/>
    <col min="35" max="35" width="7.42578125" bestFit="1" customWidth="1"/>
  </cols>
  <sheetData>
    <row r="1" spans="2:19" ht="4.5" hidden="1" customHeight="1" thickBot="1">
      <c r="B1" s="31"/>
      <c r="C1" s="31"/>
    </row>
    <row r="2" spans="2:19" ht="4.5" customHeight="1">
      <c r="B2" s="31"/>
      <c r="C2" s="31"/>
    </row>
    <row r="3" spans="2:19" ht="42.75" customHeight="1">
      <c r="D3" s="87"/>
      <c r="E3" s="87"/>
      <c r="F3" s="87"/>
      <c r="G3" s="87"/>
      <c r="H3" s="87"/>
      <c r="I3" s="87"/>
      <c r="J3" s="87"/>
      <c r="K3" s="87"/>
      <c r="L3" s="87"/>
      <c r="M3" s="87"/>
      <c r="P3" s="33"/>
      <c r="Q3" s="33"/>
      <c r="R3" s="33"/>
      <c r="S3" s="34"/>
    </row>
    <row r="4" spans="2:19" ht="3.75" customHeight="1">
      <c r="D4" s="35"/>
      <c r="E4" s="35"/>
      <c r="F4" s="35"/>
      <c r="G4" s="35"/>
      <c r="H4" s="35"/>
      <c r="I4" s="35"/>
      <c r="J4" s="35"/>
      <c r="K4" s="35"/>
      <c r="L4" s="35"/>
      <c r="M4" s="35"/>
      <c r="N4" s="36"/>
      <c r="O4" s="36"/>
      <c r="P4" s="34"/>
      <c r="Q4" s="34"/>
      <c r="R4" s="34"/>
      <c r="S4" s="34"/>
    </row>
    <row r="5" spans="2:19" ht="5.0999999999999996" customHeight="1"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4"/>
      <c r="Q5" s="34"/>
      <c r="R5" s="34"/>
      <c r="S5" s="34"/>
    </row>
    <row r="6" spans="2:19" ht="23.25" customHeight="1">
      <c r="D6" s="37"/>
      <c r="E6" s="38"/>
      <c r="F6" s="38"/>
      <c r="G6" s="39"/>
      <c r="H6" s="40"/>
      <c r="I6" s="40"/>
      <c r="J6" s="40"/>
      <c r="K6" s="40"/>
      <c r="L6" s="40"/>
      <c r="M6" s="40"/>
      <c r="N6" s="40"/>
      <c r="O6" s="40"/>
      <c r="P6" s="40"/>
      <c r="Q6" s="34"/>
      <c r="R6" s="34"/>
      <c r="S6" s="34"/>
    </row>
    <row r="7" spans="2:19" s="69" customFormat="1" ht="31.5" customHeight="1">
      <c r="B7" s="68"/>
      <c r="C7" s="68"/>
      <c r="D7" s="41"/>
      <c r="E7" s="41"/>
      <c r="F7" s="41"/>
      <c r="G7" s="42"/>
      <c r="H7" s="41"/>
      <c r="I7" s="41"/>
      <c r="J7" s="41"/>
      <c r="K7" s="41"/>
      <c r="L7" s="40"/>
      <c r="M7" s="40"/>
      <c r="N7" s="62"/>
      <c r="O7" s="63"/>
      <c r="P7" s="63"/>
      <c r="Q7" s="63"/>
      <c r="R7" s="63"/>
      <c r="S7" s="33"/>
    </row>
    <row r="8" spans="2:19" s="69" customFormat="1" ht="24.95" customHeight="1">
      <c r="B8" s="93">
        <f>data!$C$4</f>
        <v>6</v>
      </c>
      <c r="C8" s="93"/>
      <c r="D8" s="65"/>
      <c r="E8" s="65"/>
      <c r="F8" s="66"/>
      <c r="G8" s="67"/>
      <c r="H8" s="66"/>
      <c r="I8" s="66"/>
      <c r="J8" s="66"/>
      <c r="K8" s="66"/>
      <c r="L8" s="40"/>
      <c r="M8" s="40"/>
      <c r="N8" s="96" t="str">
        <f>+" Branch Performance - KPI between W" &amp; calc!$B$5 &amp; " to W" &amp; calc!$B$16</f>
        <v xml:space="preserve"> Branch Performance - KPI between W6 to W17</v>
      </c>
      <c r="O8" s="96"/>
      <c r="P8" s="96"/>
      <c r="Q8" s="96"/>
      <c r="R8" s="96"/>
      <c r="S8" s="33"/>
    </row>
    <row r="9" spans="2:19" s="69" customFormat="1" ht="28.5" customHeight="1">
      <c r="B9" s="93"/>
      <c r="C9" s="93"/>
      <c r="D9" s="65"/>
      <c r="E9" s="65"/>
      <c r="F9" s="66"/>
      <c r="G9" s="67"/>
      <c r="H9" s="66"/>
      <c r="I9" s="66"/>
      <c r="J9" s="66"/>
      <c r="K9" s="66"/>
      <c r="L9" s="40"/>
      <c r="M9" s="40"/>
      <c r="N9" s="96"/>
      <c r="O9" s="96"/>
      <c r="P9" s="96"/>
      <c r="Q9" s="96"/>
      <c r="R9" s="96"/>
      <c r="S9" s="33"/>
    </row>
    <row r="10" spans="2:19" s="69" customFormat="1" ht="2.25" customHeight="1">
      <c r="B10" s="68"/>
      <c r="C10" s="68"/>
      <c r="D10" s="43"/>
      <c r="E10" s="43"/>
      <c r="F10" s="40"/>
      <c r="G10" s="44"/>
      <c r="H10" s="40"/>
      <c r="I10" s="40"/>
      <c r="J10" s="40"/>
      <c r="K10" s="40"/>
      <c r="L10" s="40"/>
      <c r="M10" s="40"/>
      <c r="N10" s="40"/>
      <c r="O10" s="40"/>
      <c r="P10" s="40"/>
      <c r="Q10" s="33"/>
      <c r="R10" s="33"/>
      <c r="S10" s="33"/>
    </row>
    <row r="11" spans="2:19" s="69" customFormat="1" ht="29.25" customHeight="1">
      <c r="B11" s="94" t="s">
        <v>12</v>
      </c>
      <c r="C11" s="94"/>
      <c r="D11" s="88">
        <f>+calc!AC13</f>
        <v>107</v>
      </c>
      <c r="E11" s="88"/>
      <c r="F11" s="89">
        <f>+calc!AD13</f>
        <v>97</v>
      </c>
      <c r="G11" s="89"/>
      <c r="H11" s="89">
        <f>+calc!AE13</f>
        <v>163</v>
      </c>
      <c r="I11" s="89"/>
      <c r="J11" s="89">
        <f>+calc!AF13</f>
        <v>161</v>
      </c>
      <c r="K11" s="89"/>
      <c r="L11" s="70"/>
      <c r="M11" s="70"/>
      <c r="N11" s="45"/>
      <c r="O11" s="45"/>
      <c r="P11" s="45"/>
      <c r="Q11" s="33"/>
      <c r="R11" s="33"/>
      <c r="S11" s="33"/>
    </row>
    <row r="12" spans="2:19" s="69" customFormat="1" ht="29.25" customHeight="1">
      <c r="B12" s="94" t="s">
        <v>15</v>
      </c>
      <c r="C12" s="94"/>
      <c r="D12" s="97">
        <f>+calc!AC14</f>
        <v>2.1000000000000001E-2</v>
      </c>
      <c r="E12" s="97"/>
      <c r="F12" s="97">
        <f>+calc!AD14</f>
        <v>2.5000000000000001E-2</v>
      </c>
      <c r="G12" s="97"/>
      <c r="H12" s="97">
        <f>+calc!AE14</f>
        <v>8.1000000000000003E-2</v>
      </c>
      <c r="I12" s="97"/>
      <c r="J12" s="97">
        <f>+calc!AF14</f>
        <v>3.7999999999999999E-2</v>
      </c>
      <c r="K12" s="97"/>
      <c r="L12" s="70"/>
      <c r="M12" s="70"/>
      <c r="N12" s="40"/>
      <c r="O12" s="40"/>
      <c r="P12" s="40"/>
      <c r="Q12" s="33"/>
      <c r="R12" s="33"/>
      <c r="S12" s="33"/>
    </row>
    <row r="13" spans="2:19" s="69" customFormat="1" ht="29.25" customHeight="1">
      <c r="B13" s="95" t="s">
        <v>16</v>
      </c>
      <c r="C13" s="95"/>
      <c r="D13" s="97">
        <f>+calc!AC15</f>
        <v>0.9103</v>
      </c>
      <c r="E13" s="97"/>
      <c r="F13" s="97">
        <f>+calc!AD15</f>
        <v>0.91180000000000005</v>
      </c>
      <c r="G13" s="97"/>
      <c r="H13" s="97">
        <f>+calc!AE15</f>
        <v>0.90990000000000004</v>
      </c>
      <c r="I13" s="97"/>
      <c r="J13" s="97">
        <f>+calc!AF15</f>
        <v>0.91510000000000002</v>
      </c>
      <c r="K13" s="97"/>
      <c r="L13" s="70"/>
      <c r="M13" s="70"/>
      <c r="N13" s="40"/>
      <c r="O13" s="40"/>
      <c r="P13" s="40"/>
      <c r="Q13" s="33"/>
      <c r="R13" s="33"/>
      <c r="S13" s="33"/>
    </row>
    <row r="14" spans="2:19" s="71" customFormat="1" ht="3" customHeight="1"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</row>
    <row r="15" spans="2:19" s="71" customFormat="1"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</row>
    <row r="16" spans="2:19" s="71" customFormat="1" ht="30" customHeight="1">
      <c r="B16" s="86"/>
      <c r="C16" s="68"/>
      <c r="D16" s="92" t="s">
        <v>53</v>
      </c>
      <c r="E16" s="92"/>
      <c r="F16" s="92"/>
      <c r="G16" s="92"/>
      <c r="H16" s="92"/>
      <c r="I16" s="92"/>
      <c r="J16" s="92"/>
      <c r="K16" s="92"/>
      <c r="L16" s="68"/>
      <c r="N16" s="82" t="s">
        <v>52</v>
      </c>
      <c r="O16" s="83" t="s">
        <v>48</v>
      </c>
      <c r="P16" s="83" t="s">
        <v>49</v>
      </c>
      <c r="Q16" s="83" t="s">
        <v>50</v>
      </c>
      <c r="R16" s="83" t="s">
        <v>51</v>
      </c>
    </row>
    <row r="17" spans="2:24" s="71" customFormat="1" ht="20.25" customHeight="1">
      <c r="B17" s="90"/>
      <c r="C17" s="68"/>
      <c r="D17" s="72" t="s">
        <v>12</v>
      </c>
      <c r="E17" s="73"/>
      <c r="F17" s="74"/>
      <c r="G17" s="74"/>
      <c r="H17" s="75">
        <v>80</v>
      </c>
      <c r="I17" s="76">
        <v>100</v>
      </c>
      <c r="J17" s="74"/>
      <c r="K17" s="73"/>
      <c r="L17" s="73"/>
      <c r="N17" s="84" t="s">
        <v>12</v>
      </c>
      <c r="O17" s="85">
        <f>+calc!AC5</f>
        <v>-0.33749999999999991</v>
      </c>
      <c r="P17" s="85">
        <f>+calc!AD5</f>
        <v>-0.21249999999999991</v>
      </c>
      <c r="Q17" s="85">
        <f>+calc!AE5</f>
        <v>-1.0375000000000001</v>
      </c>
      <c r="R17" s="85">
        <f>+calc!AF5</f>
        <v>-1.0125000000000002</v>
      </c>
      <c r="S17" s="77"/>
      <c r="T17" s="77"/>
      <c r="U17" s="77"/>
      <c r="V17" s="77"/>
      <c r="W17" s="77"/>
      <c r="X17" s="77"/>
    </row>
    <row r="18" spans="2:24" s="71" customFormat="1" ht="20.25" customHeight="1">
      <c r="B18" s="90"/>
      <c r="C18" s="68"/>
      <c r="D18" s="78" t="s">
        <v>15</v>
      </c>
      <c r="E18" s="73"/>
      <c r="F18" s="74"/>
      <c r="G18" s="74"/>
      <c r="H18" s="79">
        <v>0.04</v>
      </c>
      <c r="I18" s="80">
        <v>0.06</v>
      </c>
      <c r="J18" s="74"/>
      <c r="K18" s="73"/>
      <c r="L18" s="73"/>
      <c r="N18" s="84" t="s">
        <v>15</v>
      </c>
      <c r="O18" s="85">
        <f>+calc!AC6</f>
        <v>0.47499999999999998</v>
      </c>
      <c r="P18" s="85">
        <f>+calc!AD6</f>
        <v>0.375</v>
      </c>
      <c r="Q18" s="85">
        <f>+calc!AE6</f>
        <v>-1.0249999999999999</v>
      </c>
      <c r="R18" s="85">
        <f>+calc!AF6</f>
        <v>5.0000000000000044E-2</v>
      </c>
    </row>
    <row r="19" spans="2:24" s="69" customFormat="1" ht="20.25" customHeight="1">
      <c r="B19" s="90"/>
      <c r="C19" s="68"/>
      <c r="D19" s="78" t="s">
        <v>16</v>
      </c>
      <c r="E19" s="73"/>
      <c r="F19" s="74"/>
      <c r="G19" s="74"/>
      <c r="H19" s="79">
        <v>0.91</v>
      </c>
      <c r="I19" s="80">
        <v>0.9</v>
      </c>
      <c r="J19" s="74"/>
      <c r="K19" s="73"/>
      <c r="L19" s="81"/>
      <c r="M19" s="70"/>
      <c r="N19" s="84" t="s">
        <v>16</v>
      </c>
      <c r="O19" s="85">
        <f>+calc!AC7</f>
        <v>-3.2967032967023968E-4</v>
      </c>
      <c r="P19" s="85">
        <f>+calc!AD7</f>
        <v>-1.9780219780221042E-3</v>
      </c>
      <c r="Q19" s="85">
        <f>+calc!AE7</f>
        <v>1.0989010989004289E-4</v>
      </c>
      <c r="R19" s="85">
        <f>+calc!AF7</f>
        <v>-5.6043956043956289E-3</v>
      </c>
    </row>
    <row r="20" spans="2:24" s="69" customFormat="1" ht="30" customHeight="1">
      <c r="B20" s="68"/>
      <c r="C20" s="68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</row>
    <row r="21" spans="2:24" ht="30" customHeight="1"/>
    <row r="22" spans="2:24" ht="30" customHeight="1">
      <c r="N22" s="91"/>
      <c r="O22" s="91"/>
    </row>
    <row r="23" spans="2:24" ht="19.5" customHeight="1"/>
    <row r="24" spans="2:24" ht="19.5" customHeight="1"/>
    <row r="25" spans="2:24" ht="19.5" customHeight="1"/>
    <row r="26" spans="2:24" ht="19.5" customHeight="1"/>
    <row r="27" spans="2:24" ht="19.5" customHeight="1"/>
    <row r="28" spans="2:24" ht="19.5" customHeight="1"/>
    <row r="29" spans="2:24" ht="19.5" customHeight="1"/>
    <row r="30" spans="2:24" ht="19.5" customHeight="1"/>
    <row r="31" spans="2:24" ht="19.5" customHeight="1"/>
    <row r="32" spans="2:24" ht="19.5" customHeight="1"/>
    <row r="33" ht="19.5" customHeight="1"/>
    <row r="34" ht="19.5" customHeight="1"/>
    <row r="35" ht="19.5" customHeight="1"/>
    <row r="36" ht="19.5" customHeight="1"/>
    <row r="37" ht="19.5" customHeight="1"/>
    <row r="38" ht="19.5" customHeight="1"/>
    <row r="39" ht="19.5" customHeight="1"/>
  </sheetData>
  <mergeCells count="21">
    <mergeCell ref="B17:B19"/>
    <mergeCell ref="N22:O22"/>
    <mergeCell ref="D16:K16"/>
    <mergeCell ref="B8:C9"/>
    <mergeCell ref="B12:C12"/>
    <mergeCell ref="B13:C13"/>
    <mergeCell ref="N8:R9"/>
    <mergeCell ref="B11:C11"/>
    <mergeCell ref="J13:K13"/>
    <mergeCell ref="D12:E12"/>
    <mergeCell ref="F12:G12"/>
    <mergeCell ref="H12:I12"/>
    <mergeCell ref="J12:K12"/>
    <mergeCell ref="D13:E13"/>
    <mergeCell ref="F13:G13"/>
    <mergeCell ref="H13:I13"/>
    <mergeCell ref="D3:M3"/>
    <mergeCell ref="D11:E11"/>
    <mergeCell ref="F11:G11"/>
    <mergeCell ref="H11:I11"/>
    <mergeCell ref="J11:K11"/>
  </mergeCells>
  <phoneticPr fontId="0" type="noConversion"/>
  <conditionalFormatting sqref="D11:K11">
    <cfRule type="iconSet" priority="10">
      <iconSet reverse="1">
        <cfvo type="percent" val="0"/>
        <cfvo type="formula" val="$H$17" gte="0"/>
        <cfvo type="formula" val="$I$17"/>
      </iconSet>
    </cfRule>
  </conditionalFormatting>
  <conditionalFormatting sqref="D12:K12">
    <cfRule type="iconSet" priority="9">
      <iconSet reverse="1">
        <cfvo type="percent" val="0"/>
        <cfvo type="formula" val="$H$18"/>
        <cfvo type="formula" val="$I$18"/>
      </iconSet>
    </cfRule>
  </conditionalFormatting>
  <conditionalFormatting sqref="D13:K13">
    <cfRule type="iconSet" priority="8">
      <iconSet>
        <cfvo type="percent" val="0"/>
        <cfvo type="formula" val="$I$19"/>
        <cfvo type="formula" val="$H$19"/>
      </iconSet>
    </cfRule>
  </conditionalFormatting>
  <printOptions horizontalCentered="1" verticalCentered="1"/>
  <pageMargins left="0.19685039370078741" right="0.19685039370078741" top="0.39370078740157483" bottom="0.39370078740157483" header="0.19685039370078741" footer="0.19685039370078741"/>
  <pageSetup paperSize="9" scale="72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>
    <tabColor theme="0" tint="-4.9989318521683403E-2"/>
    <pageSetUpPr fitToPage="1"/>
  </sheetPr>
  <dimension ref="B1:AE59"/>
  <sheetViews>
    <sheetView showGridLines="0" zoomScaleNormal="100" zoomScaleSheetLayoutView="55" workbookViewId="0">
      <selection activeCell="N19" sqref="N19"/>
    </sheetView>
  </sheetViews>
  <sheetFormatPr defaultColWidth="12.7109375" defaultRowHeight="14.25"/>
  <cols>
    <col min="1" max="1" width="2.7109375" style="8" customWidth="1"/>
    <col min="2" max="2" width="14.5703125" style="8" customWidth="1"/>
    <col min="3" max="3" width="15.7109375" style="8" customWidth="1"/>
    <col min="4" max="7" width="7" style="8" bestFit="1" customWidth="1"/>
    <col min="8" max="9" width="2.7109375" style="8" customWidth="1"/>
    <col min="10" max="10" width="2" style="8" customWidth="1"/>
    <col min="11" max="11" width="3" style="8" customWidth="1"/>
    <col min="12" max="15" width="6.5703125" style="8" customWidth="1"/>
    <col min="16" max="16" width="1.28515625" style="8" customWidth="1"/>
    <col min="17" max="17" width="1.85546875" style="8" customWidth="1"/>
    <col min="18" max="21" width="6.5703125" style="8" customWidth="1"/>
    <col min="22" max="22" width="4" style="8" customWidth="1"/>
    <col min="23" max="26" width="7.28515625" style="8" customWidth="1"/>
    <col min="27" max="16384" width="12.7109375" style="8"/>
  </cols>
  <sheetData>
    <row r="1" spans="2:31" s="2" customFormat="1"/>
    <row r="2" spans="2:31" s="2" customFormat="1" ht="30" customHeight="1">
      <c r="B2" s="29" t="s">
        <v>17</v>
      </c>
      <c r="C2" s="30"/>
      <c r="D2" s="30"/>
      <c r="E2" s="30"/>
      <c r="F2" s="30"/>
      <c r="G2" s="30"/>
      <c r="H2" s="3"/>
    </row>
    <row r="3" spans="2:31" s="2" customFormat="1" ht="12.75" customHeight="1">
      <c r="B3" s="47"/>
      <c r="C3" s="47"/>
      <c r="D3" s="3"/>
      <c r="E3" s="3"/>
      <c r="F3" s="3"/>
      <c r="G3" s="3"/>
      <c r="H3" s="28"/>
      <c r="I3" s="28"/>
    </row>
    <row r="4" spans="2:31" s="2" customFormat="1" ht="12.75" customHeight="1">
      <c r="B4" s="47" t="s">
        <v>2</v>
      </c>
      <c r="C4" s="48">
        <v>6</v>
      </c>
      <c r="D4" s="3"/>
      <c r="E4" s="3"/>
      <c r="F4" s="3"/>
      <c r="G4" s="3"/>
    </row>
    <row r="5" spans="2:31" s="2" customFormat="1" ht="12.75" customHeight="1">
      <c r="B5" s="49"/>
      <c r="C5" s="49"/>
      <c r="D5" s="3"/>
      <c r="E5" s="3"/>
      <c r="F5" s="3"/>
      <c r="G5" s="3"/>
      <c r="H5" s="3"/>
    </row>
    <row r="6" spans="2:31" s="2" customFormat="1" ht="20.100000000000001" customHeight="1">
      <c r="B6" s="4" t="s">
        <v>1</v>
      </c>
      <c r="C6" s="5"/>
      <c r="D6" s="5"/>
      <c r="E6" s="5"/>
      <c r="F6" s="5"/>
      <c r="G6" s="5"/>
      <c r="H6" s="5"/>
    </row>
    <row r="7" spans="2:31" s="2" customFormat="1" ht="15" thickBot="1"/>
    <row r="8" spans="2:31" s="2" customFormat="1" ht="15" thickBot="1">
      <c r="D8" s="101" t="s">
        <v>18</v>
      </c>
      <c r="E8" s="102"/>
      <c r="F8" s="102"/>
      <c r="G8" s="103"/>
      <c r="H8" s="27"/>
      <c r="I8" s="28"/>
      <c r="L8" s="98" t="s">
        <v>12</v>
      </c>
      <c r="M8" s="99"/>
      <c r="N8" s="99"/>
      <c r="O8" s="100"/>
      <c r="R8" s="98" t="s">
        <v>14</v>
      </c>
      <c r="S8" s="99"/>
      <c r="T8" s="99"/>
      <c r="U8" s="100"/>
      <c r="W8" s="98" t="s">
        <v>16</v>
      </c>
      <c r="X8" s="99"/>
      <c r="Y8" s="99"/>
      <c r="Z8" s="100"/>
    </row>
    <row r="9" spans="2:31" s="2" customFormat="1">
      <c r="B9" s="6"/>
      <c r="C9" s="6" t="s">
        <v>0</v>
      </c>
      <c r="D9" s="9" t="s">
        <v>3</v>
      </c>
      <c r="E9" s="9" t="s">
        <v>4</v>
      </c>
      <c r="F9" s="9" t="s">
        <v>5</v>
      </c>
      <c r="G9" s="9" t="s">
        <v>6</v>
      </c>
      <c r="H9" s="3"/>
      <c r="L9" s="9" t="s">
        <v>3</v>
      </c>
      <c r="M9" s="9" t="s">
        <v>4</v>
      </c>
      <c r="N9" s="9" t="s">
        <v>5</v>
      </c>
      <c r="O9" s="9" t="s">
        <v>6</v>
      </c>
      <c r="P9" s="19"/>
      <c r="R9" s="21" t="s">
        <v>3</v>
      </c>
      <c r="S9" s="21" t="s">
        <v>4</v>
      </c>
      <c r="T9" s="21" t="s">
        <v>5</v>
      </c>
      <c r="U9" s="21" t="s">
        <v>6</v>
      </c>
      <c r="V9" s="19"/>
      <c r="W9" s="21" t="s">
        <v>3</v>
      </c>
      <c r="X9" s="21" t="s">
        <v>4</v>
      </c>
      <c r="Y9" s="21" t="s">
        <v>5</v>
      </c>
      <c r="Z9" s="21" t="s">
        <v>6</v>
      </c>
    </row>
    <row r="10" spans="2:31" s="2" customFormat="1" ht="15" thickBot="1">
      <c r="R10" s="20"/>
      <c r="S10" s="20"/>
      <c r="T10" s="20"/>
      <c r="U10" s="20"/>
      <c r="W10" s="18"/>
      <c r="X10" s="17"/>
      <c r="Y10" s="17"/>
      <c r="Z10" s="17"/>
    </row>
    <row r="11" spans="2:31" s="2" customFormat="1" ht="15" thickBot="1">
      <c r="B11" s="11"/>
      <c r="C11" s="12">
        <v>1</v>
      </c>
      <c r="D11" s="13">
        <v>118</v>
      </c>
      <c r="E11" s="13">
        <v>69</v>
      </c>
      <c r="F11" s="13">
        <v>145</v>
      </c>
      <c r="G11" s="13">
        <v>84</v>
      </c>
      <c r="H11" s="3"/>
      <c r="J11" s="10"/>
      <c r="L11" s="10">
        <f>+D11</f>
        <v>118</v>
      </c>
      <c r="M11" s="10">
        <f>+E11</f>
        <v>69</v>
      </c>
      <c r="N11" s="10">
        <f>+F11</f>
        <v>145</v>
      </c>
      <c r="O11" s="10">
        <f>+G11</f>
        <v>84</v>
      </c>
      <c r="P11" s="10"/>
      <c r="R11" s="17">
        <v>8.0000000000000002E-3</v>
      </c>
      <c r="S11" s="17">
        <v>6.7000000000000004E-2</v>
      </c>
      <c r="T11" s="17">
        <v>0.01</v>
      </c>
      <c r="U11" s="17">
        <v>2E-3</v>
      </c>
      <c r="W11" s="26">
        <v>0.91149999999999998</v>
      </c>
      <c r="X11" s="26">
        <v>0.91100000000000003</v>
      </c>
      <c r="Y11" s="26">
        <v>0.91549999999999998</v>
      </c>
      <c r="Z11" s="26">
        <v>0.91559999999999997</v>
      </c>
      <c r="AB11" s="26"/>
      <c r="AC11" s="26"/>
      <c r="AD11" s="26"/>
      <c r="AE11" s="26"/>
    </row>
    <row r="12" spans="2:31" s="2" customFormat="1" ht="15" thickBot="1">
      <c r="B12" s="14"/>
      <c r="C12" s="7">
        <v>2</v>
      </c>
      <c r="D12" s="13">
        <v>129</v>
      </c>
      <c r="E12" s="13">
        <v>126</v>
      </c>
      <c r="F12" s="13">
        <v>165</v>
      </c>
      <c r="G12" s="13">
        <v>124</v>
      </c>
      <c r="H12" s="3"/>
      <c r="J12" s="10"/>
      <c r="L12" s="10">
        <f>+D11+D12</f>
        <v>247</v>
      </c>
      <c r="M12" s="10">
        <f>+E11+E12</f>
        <v>195</v>
      </c>
      <c r="N12" s="10">
        <f>+F11+F12</f>
        <v>310</v>
      </c>
      <c r="O12" s="10">
        <f>+G11+G12</f>
        <v>208</v>
      </c>
      <c r="P12" s="10"/>
      <c r="R12" s="17">
        <v>9.1999999999999998E-2</v>
      </c>
      <c r="S12" s="17">
        <v>7.2999999999999995E-2</v>
      </c>
      <c r="T12" s="17">
        <v>0.02</v>
      </c>
      <c r="U12" s="17">
        <v>5.8000000000000003E-2</v>
      </c>
      <c r="W12" s="26">
        <v>0.91439999999999999</v>
      </c>
      <c r="X12" s="26">
        <v>0.91610000000000003</v>
      </c>
      <c r="Y12" s="26">
        <v>0.9173</v>
      </c>
      <c r="Z12" s="26">
        <v>0.91049999999999998</v>
      </c>
      <c r="AB12" s="26"/>
      <c r="AC12" s="26"/>
      <c r="AD12" s="26"/>
      <c r="AE12" s="26"/>
    </row>
    <row r="13" spans="2:31" s="2" customFormat="1" ht="15" thickBot="1">
      <c r="B13" s="14"/>
      <c r="C13" s="7">
        <v>3</v>
      </c>
      <c r="D13" s="13">
        <v>167</v>
      </c>
      <c r="E13" s="13">
        <v>116</v>
      </c>
      <c r="F13" s="13">
        <v>103</v>
      </c>
      <c r="G13" s="13">
        <v>97</v>
      </c>
      <c r="H13" s="3"/>
      <c r="J13" s="10"/>
      <c r="L13" s="10">
        <f>+L12+D13</f>
        <v>414</v>
      </c>
      <c r="M13" s="10">
        <f>+M12+E13</f>
        <v>311</v>
      </c>
      <c r="N13" s="10">
        <f>+N12+F13</f>
        <v>413</v>
      </c>
      <c r="O13" s="10">
        <f>+O12+G13</f>
        <v>305</v>
      </c>
      <c r="P13" s="10"/>
      <c r="R13" s="17">
        <v>1.7999999999999999E-2</v>
      </c>
      <c r="S13" s="17">
        <v>7.0000000000000001E-3</v>
      </c>
      <c r="T13" s="17">
        <v>1.2999999999999999E-2</v>
      </c>
      <c r="U13" s="17">
        <v>2.5999999999999999E-2</v>
      </c>
      <c r="W13" s="26">
        <v>0.9093</v>
      </c>
      <c r="X13" s="26">
        <v>0.91879999999999995</v>
      </c>
      <c r="Y13" s="26">
        <v>0.91759999999999997</v>
      </c>
      <c r="Z13" s="26">
        <v>0.93</v>
      </c>
      <c r="AB13" s="26"/>
      <c r="AC13" s="26"/>
      <c r="AD13" s="26"/>
      <c r="AE13" s="26"/>
    </row>
    <row r="14" spans="2:31" s="2" customFormat="1" ht="15" thickBot="1">
      <c r="B14" s="14"/>
      <c r="C14" s="7">
        <v>4</v>
      </c>
      <c r="D14" s="13">
        <v>130</v>
      </c>
      <c r="E14" s="13">
        <v>131</v>
      </c>
      <c r="F14" s="13">
        <v>151</v>
      </c>
      <c r="G14" s="13">
        <v>106</v>
      </c>
      <c r="H14" s="3"/>
      <c r="J14" s="10"/>
      <c r="L14" s="10">
        <f t="shared" ref="L14:L58" si="0">+L13+D14</f>
        <v>544</v>
      </c>
      <c r="M14" s="10">
        <f t="shared" ref="M14:O58" si="1">+M13+E14</f>
        <v>442</v>
      </c>
      <c r="N14" s="10">
        <f t="shared" si="1"/>
        <v>564</v>
      </c>
      <c r="O14" s="10">
        <f t="shared" si="1"/>
        <v>411</v>
      </c>
      <c r="P14" s="10"/>
      <c r="R14" s="17">
        <v>3.4000000000000002E-2</v>
      </c>
      <c r="S14" s="17">
        <v>3.6999999999999998E-2</v>
      </c>
      <c r="T14" s="17">
        <v>4.5999999999999999E-2</v>
      </c>
      <c r="U14" s="17">
        <v>9.1999999999999998E-2</v>
      </c>
      <c r="W14" s="26">
        <v>0.9093</v>
      </c>
      <c r="X14" s="26">
        <v>0.91710000000000003</v>
      </c>
      <c r="Y14" s="26">
        <v>0.91759999999999997</v>
      </c>
      <c r="Z14" s="26">
        <v>0.91049999999999998</v>
      </c>
      <c r="AB14" s="26"/>
      <c r="AC14" s="26"/>
      <c r="AD14" s="26"/>
      <c r="AE14" s="26"/>
    </row>
    <row r="15" spans="2:31" s="2" customFormat="1" ht="15" thickBot="1">
      <c r="B15" s="14"/>
      <c r="C15" s="7">
        <v>5</v>
      </c>
      <c r="D15" s="13">
        <v>145</v>
      </c>
      <c r="E15" s="13">
        <v>118</v>
      </c>
      <c r="F15" s="13">
        <v>71</v>
      </c>
      <c r="G15" s="13">
        <v>88</v>
      </c>
      <c r="H15" s="3"/>
      <c r="J15" s="10"/>
      <c r="L15" s="10">
        <f t="shared" si="0"/>
        <v>689</v>
      </c>
      <c r="M15" s="10">
        <f t="shared" si="1"/>
        <v>560</v>
      </c>
      <c r="N15" s="10">
        <f t="shared" si="1"/>
        <v>635</v>
      </c>
      <c r="O15" s="10">
        <f t="shared" si="1"/>
        <v>499</v>
      </c>
      <c r="P15" s="10"/>
      <c r="R15" s="17">
        <v>2.5999999999999999E-2</v>
      </c>
      <c r="S15" s="17">
        <v>7.0999999999999994E-2</v>
      </c>
      <c r="T15" s="17">
        <v>1.7000000000000001E-2</v>
      </c>
      <c r="U15" s="17">
        <v>2.4E-2</v>
      </c>
      <c r="W15" s="26">
        <v>0.91810000000000003</v>
      </c>
      <c r="X15" s="26">
        <v>0.91069999999999995</v>
      </c>
      <c r="Y15" s="26">
        <v>0.91500000000000004</v>
      </c>
      <c r="Z15" s="26">
        <v>0.91869999999999996</v>
      </c>
      <c r="AB15" s="26"/>
      <c r="AC15" s="26"/>
      <c r="AD15" s="26"/>
      <c r="AE15" s="26"/>
    </row>
    <row r="16" spans="2:31" s="2" customFormat="1" ht="15" thickBot="1">
      <c r="B16" s="14"/>
      <c r="C16" s="7">
        <v>6</v>
      </c>
      <c r="D16" s="13">
        <v>107</v>
      </c>
      <c r="E16" s="13">
        <v>97</v>
      </c>
      <c r="F16" s="13">
        <v>163</v>
      </c>
      <c r="G16" s="13">
        <v>161</v>
      </c>
      <c r="H16" s="3"/>
      <c r="J16" s="10"/>
      <c r="L16" s="10">
        <f t="shared" si="0"/>
        <v>796</v>
      </c>
      <c r="M16" s="10">
        <f t="shared" si="1"/>
        <v>657</v>
      </c>
      <c r="N16" s="10">
        <f t="shared" si="1"/>
        <v>798</v>
      </c>
      <c r="O16" s="10">
        <f t="shared" si="1"/>
        <v>660</v>
      </c>
      <c r="P16" s="10"/>
      <c r="R16" s="17">
        <v>2.1000000000000001E-2</v>
      </c>
      <c r="S16" s="17">
        <v>2.5000000000000001E-2</v>
      </c>
      <c r="T16" s="17">
        <v>8.1000000000000003E-2</v>
      </c>
      <c r="U16" s="17">
        <v>3.7999999999999999E-2</v>
      </c>
      <c r="W16" s="26">
        <v>0.9103</v>
      </c>
      <c r="X16" s="26">
        <v>0.91180000000000005</v>
      </c>
      <c r="Y16" s="26">
        <v>0.90990000000000004</v>
      </c>
      <c r="Z16" s="26">
        <v>0.91510000000000002</v>
      </c>
      <c r="AB16" s="26"/>
      <c r="AC16" s="26"/>
      <c r="AD16" s="26"/>
      <c r="AE16" s="26"/>
    </row>
    <row r="17" spans="2:31" s="2" customFormat="1" ht="15" thickBot="1">
      <c r="B17" s="14"/>
      <c r="C17" s="7">
        <v>7</v>
      </c>
      <c r="D17" s="13">
        <v>69</v>
      </c>
      <c r="E17" s="13">
        <v>88</v>
      </c>
      <c r="F17" s="13">
        <v>168</v>
      </c>
      <c r="G17" s="13">
        <v>85</v>
      </c>
      <c r="H17" s="3"/>
      <c r="J17" s="10"/>
      <c r="L17" s="10">
        <f t="shared" si="0"/>
        <v>865</v>
      </c>
      <c r="M17" s="10">
        <f t="shared" si="1"/>
        <v>745</v>
      </c>
      <c r="N17" s="10">
        <f t="shared" si="1"/>
        <v>966</v>
      </c>
      <c r="O17" s="10">
        <f t="shared" si="1"/>
        <v>745</v>
      </c>
      <c r="P17" s="10"/>
      <c r="R17" s="17">
        <v>7.3999999999999996E-2</v>
      </c>
      <c r="S17" s="17">
        <v>5.0000000000000001E-3</v>
      </c>
      <c r="T17" s="17">
        <v>4.7E-2</v>
      </c>
      <c r="U17" s="17">
        <v>3.9E-2</v>
      </c>
      <c r="W17" s="26">
        <v>0.90959999999999996</v>
      </c>
      <c r="X17" s="26">
        <v>0.91669999999999996</v>
      </c>
      <c r="Y17" s="26">
        <v>0.91720000000000002</v>
      </c>
      <c r="Z17" s="26">
        <v>0.91720000000000002</v>
      </c>
      <c r="AB17" s="26"/>
      <c r="AC17" s="26"/>
      <c r="AD17" s="26"/>
      <c r="AE17" s="26"/>
    </row>
    <row r="18" spans="2:31" s="2" customFormat="1" ht="15" thickBot="1">
      <c r="B18" s="14"/>
      <c r="C18" s="7">
        <v>8</v>
      </c>
      <c r="D18" s="13">
        <v>163</v>
      </c>
      <c r="E18" s="13">
        <v>147</v>
      </c>
      <c r="F18" s="13">
        <v>109</v>
      </c>
      <c r="G18" s="13">
        <v>94</v>
      </c>
      <c r="H18" s="3"/>
      <c r="J18" s="10"/>
      <c r="L18" s="10">
        <f t="shared" si="0"/>
        <v>1028</v>
      </c>
      <c r="M18" s="10">
        <f t="shared" si="1"/>
        <v>892</v>
      </c>
      <c r="N18" s="10">
        <f t="shared" si="1"/>
        <v>1075</v>
      </c>
      <c r="O18" s="10">
        <f t="shared" si="1"/>
        <v>839</v>
      </c>
      <c r="P18" s="10"/>
      <c r="R18" s="17">
        <v>5.1999999999999998E-2</v>
      </c>
      <c r="S18" s="17">
        <v>1.2E-2</v>
      </c>
      <c r="T18" s="17">
        <v>0.05</v>
      </c>
      <c r="U18" s="17">
        <v>7.0999999999999994E-2</v>
      </c>
      <c r="W18" s="26">
        <v>0.9123</v>
      </c>
      <c r="X18" s="26">
        <v>0.91839999999999999</v>
      </c>
      <c r="Y18" s="26">
        <v>0.91279999999999994</v>
      </c>
      <c r="Z18" s="26">
        <v>0.91259999999999997</v>
      </c>
      <c r="AB18" s="26"/>
      <c r="AC18" s="26"/>
      <c r="AD18" s="26"/>
      <c r="AE18" s="26"/>
    </row>
    <row r="19" spans="2:31" s="2" customFormat="1" ht="15" thickBot="1">
      <c r="B19" s="14"/>
      <c r="C19" s="7">
        <v>9</v>
      </c>
      <c r="D19" s="13">
        <v>86</v>
      </c>
      <c r="E19" s="13">
        <v>66</v>
      </c>
      <c r="F19" s="13">
        <v>78</v>
      </c>
      <c r="G19" s="13">
        <v>117</v>
      </c>
      <c r="H19" s="3"/>
      <c r="J19" s="10"/>
      <c r="L19" s="10">
        <f t="shared" si="0"/>
        <v>1114</v>
      </c>
      <c r="M19" s="10">
        <f t="shared" si="1"/>
        <v>958</v>
      </c>
      <c r="N19" s="10">
        <f t="shared" si="1"/>
        <v>1153</v>
      </c>
      <c r="O19" s="10">
        <f t="shared" si="1"/>
        <v>956</v>
      </c>
      <c r="P19" s="10"/>
      <c r="R19" s="17">
        <v>3.7999999999999999E-2</v>
      </c>
      <c r="S19" s="17">
        <v>3.3000000000000002E-2</v>
      </c>
      <c r="T19" s="17">
        <v>4.7E-2</v>
      </c>
      <c r="U19" s="17">
        <v>1.4E-2</v>
      </c>
      <c r="W19" s="26">
        <v>0.9143</v>
      </c>
      <c r="X19" s="26">
        <v>0.91249999999999998</v>
      </c>
      <c r="Y19" s="26">
        <v>0.91710000000000003</v>
      </c>
      <c r="Z19" s="26">
        <v>0.91210000000000002</v>
      </c>
      <c r="AB19" s="26"/>
      <c r="AC19" s="26"/>
      <c r="AD19" s="26"/>
      <c r="AE19" s="26"/>
    </row>
    <row r="20" spans="2:31" s="2" customFormat="1" ht="15" thickBot="1">
      <c r="B20" s="14"/>
      <c r="C20" s="7">
        <v>10</v>
      </c>
      <c r="D20" s="13">
        <v>115</v>
      </c>
      <c r="E20" s="13">
        <v>69</v>
      </c>
      <c r="F20" s="13">
        <v>151</v>
      </c>
      <c r="G20" s="13">
        <v>140</v>
      </c>
      <c r="H20" s="3"/>
      <c r="J20" s="10"/>
      <c r="L20" s="10">
        <f t="shared" si="0"/>
        <v>1229</v>
      </c>
      <c r="M20" s="10">
        <f t="shared" si="1"/>
        <v>1027</v>
      </c>
      <c r="N20" s="10">
        <f t="shared" si="1"/>
        <v>1304</v>
      </c>
      <c r="O20" s="10">
        <f t="shared" si="1"/>
        <v>1096</v>
      </c>
      <c r="P20" s="10"/>
      <c r="R20" s="17">
        <v>7.2999999999999995E-2</v>
      </c>
      <c r="S20" s="17">
        <v>6.7000000000000004E-2</v>
      </c>
      <c r="T20" s="17">
        <v>6.3E-2</v>
      </c>
      <c r="U20" s="17">
        <v>1.7999999999999999E-2</v>
      </c>
      <c r="W20" s="26">
        <v>0.91290000000000004</v>
      </c>
      <c r="X20" s="26">
        <v>0.91759999999999997</v>
      </c>
      <c r="Y20" s="26">
        <v>0.91910000000000003</v>
      </c>
      <c r="Z20" s="26">
        <v>0.92</v>
      </c>
      <c r="AB20" s="26"/>
      <c r="AC20" s="26"/>
      <c r="AD20" s="26"/>
      <c r="AE20" s="26"/>
    </row>
    <row r="21" spans="2:31" s="2" customFormat="1" ht="15" thickBot="1">
      <c r="B21" s="14"/>
      <c r="C21" s="7">
        <v>11</v>
      </c>
      <c r="D21" s="13">
        <v>124</v>
      </c>
      <c r="E21" s="13">
        <v>149</v>
      </c>
      <c r="F21" s="13">
        <v>121</v>
      </c>
      <c r="G21" s="13">
        <v>142</v>
      </c>
      <c r="H21" s="3"/>
      <c r="J21" s="10"/>
      <c r="L21" s="10">
        <f t="shared" si="0"/>
        <v>1353</v>
      </c>
      <c r="M21" s="10">
        <f t="shared" si="1"/>
        <v>1176</v>
      </c>
      <c r="N21" s="10">
        <f t="shared" si="1"/>
        <v>1425</v>
      </c>
      <c r="O21" s="10">
        <f t="shared" si="1"/>
        <v>1238</v>
      </c>
      <c r="P21" s="10"/>
      <c r="R21" s="17">
        <v>6.4000000000000001E-2</v>
      </c>
      <c r="S21" s="17">
        <v>6.6000000000000003E-2</v>
      </c>
      <c r="T21" s="17">
        <v>8.1000000000000003E-2</v>
      </c>
      <c r="U21" s="17">
        <v>7.0000000000000007E-2</v>
      </c>
      <c r="W21" s="26">
        <v>0.91220000000000001</v>
      </c>
      <c r="X21" s="26">
        <v>0.91749999999999998</v>
      </c>
      <c r="Y21" s="26">
        <v>0.91600000000000004</v>
      </c>
      <c r="Z21" s="26">
        <v>0.91749999999999998</v>
      </c>
      <c r="AB21" s="26"/>
      <c r="AC21" s="26"/>
      <c r="AD21" s="26"/>
      <c r="AE21" s="26"/>
    </row>
    <row r="22" spans="2:31" s="2" customFormat="1" ht="15" thickBot="1">
      <c r="B22" s="15"/>
      <c r="C22" s="16">
        <v>12</v>
      </c>
      <c r="D22" s="13">
        <v>144</v>
      </c>
      <c r="E22" s="13">
        <v>80</v>
      </c>
      <c r="F22" s="13">
        <v>101</v>
      </c>
      <c r="G22" s="13">
        <v>138</v>
      </c>
      <c r="H22" s="3"/>
      <c r="J22" s="10"/>
      <c r="L22" s="10">
        <f t="shared" si="0"/>
        <v>1497</v>
      </c>
      <c r="M22" s="10">
        <f t="shared" si="1"/>
        <v>1256</v>
      </c>
      <c r="N22" s="10">
        <f t="shared" si="1"/>
        <v>1526</v>
      </c>
      <c r="O22" s="10">
        <f t="shared" si="1"/>
        <v>1376</v>
      </c>
      <c r="P22" s="10"/>
      <c r="R22" s="17">
        <v>3.1E-2</v>
      </c>
      <c r="S22" s="17">
        <v>9.2999999999999999E-2</v>
      </c>
      <c r="T22" s="17">
        <v>6.3E-2</v>
      </c>
      <c r="U22" s="17">
        <v>5.3999999999999999E-2</v>
      </c>
      <c r="W22" s="26">
        <v>0.9163</v>
      </c>
      <c r="X22" s="26">
        <v>0.91139999999999999</v>
      </c>
      <c r="Y22" s="26">
        <v>0.91310000000000002</v>
      </c>
      <c r="Z22" s="26">
        <v>0.91439999999999999</v>
      </c>
      <c r="AB22" s="26"/>
      <c r="AC22" s="26"/>
      <c r="AD22" s="26"/>
      <c r="AE22" s="26"/>
    </row>
    <row r="23" spans="2:31" s="2" customFormat="1" ht="15" thickBot="1">
      <c r="B23" s="11"/>
      <c r="C23" s="12">
        <v>13</v>
      </c>
      <c r="D23" s="13">
        <v>110</v>
      </c>
      <c r="E23" s="13">
        <v>69</v>
      </c>
      <c r="F23" s="13">
        <v>112</v>
      </c>
      <c r="G23" s="13">
        <v>163</v>
      </c>
      <c r="H23" s="3"/>
      <c r="J23" s="10"/>
      <c r="L23" s="10">
        <f t="shared" si="0"/>
        <v>1607</v>
      </c>
      <c r="M23" s="10">
        <f t="shared" si="1"/>
        <v>1325</v>
      </c>
      <c r="N23" s="10">
        <f t="shared" si="1"/>
        <v>1638</v>
      </c>
      <c r="O23" s="10">
        <f t="shared" si="1"/>
        <v>1539</v>
      </c>
      <c r="P23" s="10"/>
      <c r="R23" s="17">
        <v>0.08</v>
      </c>
      <c r="S23" s="17">
        <v>0.09</v>
      </c>
      <c r="T23" s="17">
        <v>2.3E-2</v>
      </c>
      <c r="U23" s="17">
        <v>6.0999999999999999E-2</v>
      </c>
      <c r="W23" s="26">
        <v>0.9123</v>
      </c>
      <c r="X23" s="26">
        <v>0.91500000000000004</v>
      </c>
      <c r="Y23" s="26">
        <v>0.91749999999999998</v>
      </c>
      <c r="Z23" s="26">
        <v>0.94</v>
      </c>
      <c r="AB23" s="26"/>
      <c r="AC23" s="26"/>
      <c r="AD23" s="26"/>
      <c r="AE23" s="26"/>
    </row>
    <row r="24" spans="2:31" s="2" customFormat="1" ht="15" thickBot="1">
      <c r="B24" s="14"/>
      <c r="C24" s="7">
        <v>14</v>
      </c>
      <c r="D24" s="13">
        <v>141</v>
      </c>
      <c r="E24" s="13">
        <v>83</v>
      </c>
      <c r="F24" s="13">
        <v>169</v>
      </c>
      <c r="G24" s="13">
        <v>166</v>
      </c>
      <c r="H24" s="3"/>
      <c r="J24" s="10"/>
      <c r="L24" s="10">
        <f t="shared" si="0"/>
        <v>1748</v>
      </c>
      <c r="M24" s="10">
        <f t="shared" si="1"/>
        <v>1408</v>
      </c>
      <c r="N24" s="10">
        <f t="shared" si="1"/>
        <v>1807</v>
      </c>
      <c r="O24" s="10">
        <f t="shared" si="1"/>
        <v>1705</v>
      </c>
      <c r="P24" s="10"/>
      <c r="R24" s="17">
        <v>7.3999999999999996E-2</v>
      </c>
      <c r="S24" s="17">
        <v>6.7000000000000004E-2</v>
      </c>
      <c r="T24" s="17">
        <v>2.3E-2</v>
      </c>
      <c r="U24" s="17">
        <v>2.9000000000000001E-2</v>
      </c>
      <c r="W24" s="26">
        <v>0.91090000000000004</v>
      </c>
      <c r="X24" s="26">
        <v>0.91900000000000004</v>
      </c>
      <c r="Y24" s="26">
        <v>0.90939999999999999</v>
      </c>
      <c r="Z24" s="26">
        <v>0.91369999999999996</v>
      </c>
      <c r="AB24" s="26"/>
      <c r="AC24" s="26"/>
      <c r="AD24" s="26"/>
      <c r="AE24" s="26"/>
    </row>
    <row r="25" spans="2:31" s="2" customFormat="1" ht="15" thickBot="1">
      <c r="B25" s="14"/>
      <c r="C25" s="7">
        <v>15</v>
      </c>
      <c r="D25" s="13">
        <v>91</v>
      </c>
      <c r="E25" s="13">
        <v>96</v>
      </c>
      <c r="F25" s="13">
        <v>109</v>
      </c>
      <c r="G25" s="13">
        <v>112</v>
      </c>
      <c r="H25" s="3"/>
      <c r="J25" s="10"/>
      <c r="L25" s="10">
        <f t="shared" si="0"/>
        <v>1839</v>
      </c>
      <c r="M25" s="10">
        <f t="shared" si="1"/>
        <v>1504</v>
      </c>
      <c r="N25" s="10">
        <f t="shared" si="1"/>
        <v>1916</v>
      </c>
      <c r="O25" s="10">
        <f t="shared" si="1"/>
        <v>1817</v>
      </c>
      <c r="P25" s="10"/>
      <c r="R25" s="17">
        <v>3.0000000000000001E-3</v>
      </c>
      <c r="S25" s="17">
        <v>9.8000000000000004E-2</v>
      </c>
      <c r="T25" s="17">
        <v>5.0000000000000001E-3</v>
      </c>
      <c r="U25" s="17">
        <v>8.0000000000000002E-3</v>
      </c>
      <c r="W25" s="26">
        <v>0.91359999999999997</v>
      </c>
      <c r="X25" s="26">
        <v>0.91649999999999998</v>
      </c>
      <c r="Y25" s="26">
        <v>0.91859999999999997</v>
      </c>
      <c r="Z25" s="26">
        <v>0.91400000000000003</v>
      </c>
      <c r="AB25" s="26"/>
      <c r="AC25" s="26"/>
      <c r="AD25" s="26"/>
      <c r="AE25" s="26"/>
    </row>
    <row r="26" spans="2:31" s="2" customFormat="1" ht="15" thickBot="1">
      <c r="B26" s="14"/>
      <c r="C26" s="7">
        <v>16</v>
      </c>
      <c r="D26" s="13">
        <v>83</v>
      </c>
      <c r="E26" s="13">
        <v>98</v>
      </c>
      <c r="F26" s="13">
        <v>82</v>
      </c>
      <c r="G26" s="13">
        <v>80</v>
      </c>
      <c r="H26" s="3"/>
      <c r="J26" s="10"/>
      <c r="L26" s="10">
        <f t="shared" si="0"/>
        <v>1922</v>
      </c>
      <c r="M26" s="10">
        <f t="shared" si="1"/>
        <v>1602</v>
      </c>
      <c r="N26" s="10">
        <f t="shared" si="1"/>
        <v>1998</v>
      </c>
      <c r="O26" s="10">
        <f t="shared" si="1"/>
        <v>1897</v>
      </c>
      <c r="P26" s="10"/>
      <c r="R26" s="17">
        <v>1.4E-2</v>
      </c>
      <c r="S26" s="17">
        <v>8.2000000000000003E-2</v>
      </c>
      <c r="T26" s="17">
        <v>0.09</v>
      </c>
      <c r="U26" s="17">
        <v>4.9000000000000002E-2</v>
      </c>
      <c r="W26" s="26">
        <v>0.91220000000000001</v>
      </c>
      <c r="X26" s="26">
        <v>0.91249999999999998</v>
      </c>
      <c r="Y26" s="26">
        <v>0.91059999999999997</v>
      </c>
      <c r="Z26" s="26">
        <v>0.90920000000000001</v>
      </c>
      <c r="AB26" s="26"/>
      <c r="AC26" s="26"/>
      <c r="AD26" s="26"/>
      <c r="AE26" s="26"/>
    </row>
    <row r="27" spans="2:31" s="2" customFormat="1" ht="15" thickBot="1">
      <c r="B27" s="14"/>
      <c r="C27" s="7">
        <v>17</v>
      </c>
      <c r="D27" s="13">
        <v>91</v>
      </c>
      <c r="E27" s="13">
        <v>94</v>
      </c>
      <c r="F27" s="13">
        <v>119</v>
      </c>
      <c r="G27" s="13">
        <v>68</v>
      </c>
      <c r="H27" s="3"/>
      <c r="J27" s="10"/>
      <c r="L27" s="10">
        <f t="shared" si="0"/>
        <v>2013</v>
      </c>
      <c r="M27" s="10">
        <f t="shared" si="1"/>
        <v>1696</v>
      </c>
      <c r="N27" s="10">
        <f t="shared" si="1"/>
        <v>2117</v>
      </c>
      <c r="O27" s="10">
        <f t="shared" si="1"/>
        <v>1965</v>
      </c>
      <c r="P27" s="10"/>
      <c r="R27" s="17">
        <v>3.3000000000000002E-2</v>
      </c>
      <c r="S27" s="17">
        <v>8.7999999999999995E-2</v>
      </c>
      <c r="T27" s="17">
        <v>0.05</v>
      </c>
      <c r="U27" s="17">
        <v>8.2000000000000003E-2</v>
      </c>
      <c r="W27" s="26">
        <v>0.91539999999999999</v>
      </c>
      <c r="X27" s="26">
        <v>0.91159999999999997</v>
      </c>
      <c r="Y27" s="26">
        <v>0.91049999999999998</v>
      </c>
      <c r="Z27" s="26">
        <v>0.91610000000000003</v>
      </c>
      <c r="AB27" s="26"/>
      <c r="AC27" s="26"/>
      <c r="AD27" s="26"/>
      <c r="AE27" s="26"/>
    </row>
    <row r="28" spans="2:31" s="2" customFormat="1" ht="15" thickBot="1">
      <c r="B28" s="14"/>
      <c r="C28" s="7">
        <v>18</v>
      </c>
      <c r="D28" s="13">
        <v>125</v>
      </c>
      <c r="E28" s="13">
        <v>169</v>
      </c>
      <c r="F28" s="13">
        <v>155</v>
      </c>
      <c r="G28" s="13">
        <v>156</v>
      </c>
      <c r="H28" s="3"/>
      <c r="J28" s="10"/>
      <c r="L28" s="10">
        <f t="shared" si="0"/>
        <v>2138</v>
      </c>
      <c r="M28" s="10">
        <f t="shared" si="1"/>
        <v>1865</v>
      </c>
      <c r="N28" s="10">
        <f t="shared" si="1"/>
        <v>2272</v>
      </c>
      <c r="O28" s="10">
        <f t="shared" si="1"/>
        <v>2121</v>
      </c>
      <c r="P28" s="10"/>
      <c r="R28" s="17">
        <v>0.01</v>
      </c>
      <c r="S28" s="17">
        <v>8.4000000000000005E-2</v>
      </c>
      <c r="T28" s="17">
        <v>6.3E-2</v>
      </c>
      <c r="U28" s="17">
        <v>2.7E-2</v>
      </c>
      <c r="W28" s="26">
        <v>0.91590000000000005</v>
      </c>
      <c r="X28" s="26">
        <v>0.91139999999999999</v>
      </c>
      <c r="Y28" s="26">
        <v>0.91579999999999995</v>
      </c>
      <c r="Z28" s="26">
        <v>0.91779999999999995</v>
      </c>
      <c r="AB28" s="26"/>
      <c r="AC28" s="26"/>
      <c r="AD28" s="26"/>
      <c r="AE28" s="26"/>
    </row>
    <row r="29" spans="2:31" s="2" customFormat="1" ht="15" thickBot="1">
      <c r="B29" s="14"/>
      <c r="C29" s="7">
        <v>19</v>
      </c>
      <c r="D29" s="13">
        <v>62</v>
      </c>
      <c r="E29" s="13">
        <v>145</v>
      </c>
      <c r="F29" s="13">
        <v>79</v>
      </c>
      <c r="G29" s="13">
        <v>145</v>
      </c>
      <c r="H29" s="3"/>
      <c r="J29" s="10"/>
      <c r="L29" s="10">
        <f t="shared" si="0"/>
        <v>2200</v>
      </c>
      <c r="M29" s="10">
        <f t="shared" si="1"/>
        <v>2010</v>
      </c>
      <c r="N29" s="10">
        <f t="shared" si="1"/>
        <v>2351</v>
      </c>
      <c r="O29" s="10">
        <f t="shared" si="1"/>
        <v>2266</v>
      </c>
      <c r="P29" s="10"/>
      <c r="R29" s="17">
        <v>3.7999999999999999E-2</v>
      </c>
      <c r="S29" s="17">
        <v>0.06</v>
      </c>
      <c r="T29" s="17">
        <v>9.7000000000000003E-2</v>
      </c>
      <c r="U29" s="17">
        <v>5.8000000000000003E-2</v>
      </c>
      <c r="W29" s="26">
        <v>0.91879999999999995</v>
      </c>
      <c r="X29" s="26">
        <v>0.91259999999999997</v>
      </c>
      <c r="Y29" s="26">
        <v>0.91339999999999999</v>
      </c>
      <c r="Z29" s="26">
        <v>0.91339999999999999</v>
      </c>
      <c r="AB29" s="26"/>
      <c r="AC29" s="26"/>
      <c r="AD29" s="26"/>
      <c r="AE29" s="26"/>
    </row>
    <row r="30" spans="2:31" s="2" customFormat="1" ht="15" thickBot="1">
      <c r="B30" s="14"/>
      <c r="C30" s="7">
        <v>20</v>
      </c>
      <c r="D30" s="13">
        <v>154</v>
      </c>
      <c r="E30" s="13">
        <v>88</v>
      </c>
      <c r="F30" s="13">
        <v>150</v>
      </c>
      <c r="G30" s="13">
        <v>127</v>
      </c>
      <c r="H30" s="3"/>
      <c r="J30" s="10"/>
      <c r="L30" s="10">
        <f t="shared" si="0"/>
        <v>2354</v>
      </c>
      <c r="M30" s="10">
        <f t="shared" si="1"/>
        <v>2098</v>
      </c>
      <c r="N30" s="10">
        <f t="shared" si="1"/>
        <v>2501</v>
      </c>
      <c r="O30" s="10">
        <f t="shared" si="1"/>
        <v>2393</v>
      </c>
      <c r="P30" s="10"/>
      <c r="R30" s="17">
        <v>5.8999999999999997E-2</v>
      </c>
      <c r="S30" s="17">
        <v>3.5000000000000003E-2</v>
      </c>
      <c r="T30" s="17">
        <v>7.2999999999999995E-2</v>
      </c>
      <c r="U30" s="17">
        <v>0.09</v>
      </c>
      <c r="W30" s="26">
        <v>0.91710000000000003</v>
      </c>
      <c r="X30" s="26">
        <v>0.91220000000000001</v>
      </c>
      <c r="Y30" s="26">
        <v>0.91839999999999999</v>
      </c>
      <c r="Z30" s="26">
        <v>0.91549999999999998</v>
      </c>
      <c r="AB30" s="26"/>
      <c r="AC30" s="26"/>
      <c r="AD30" s="26"/>
      <c r="AE30" s="26"/>
    </row>
    <row r="31" spans="2:31" s="2" customFormat="1" ht="15" thickBot="1">
      <c r="B31" s="14"/>
      <c r="C31" s="7">
        <v>21</v>
      </c>
      <c r="D31" s="13">
        <v>62</v>
      </c>
      <c r="E31" s="13">
        <v>140</v>
      </c>
      <c r="F31" s="13">
        <v>124</v>
      </c>
      <c r="G31" s="13">
        <v>110</v>
      </c>
      <c r="H31" s="3"/>
      <c r="J31" s="10"/>
      <c r="L31" s="10">
        <f t="shared" si="0"/>
        <v>2416</v>
      </c>
      <c r="M31" s="10">
        <f t="shared" si="1"/>
        <v>2238</v>
      </c>
      <c r="N31" s="10">
        <f t="shared" si="1"/>
        <v>2625</v>
      </c>
      <c r="O31" s="10">
        <f t="shared" si="1"/>
        <v>2503</v>
      </c>
      <c r="P31" s="10"/>
      <c r="R31" s="17">
        <v>6.6000000000000003E-2</v>
      </c>
      <c r="S31" s="17">
        <v>4.5999999999999999E-2</v>
      </c>
      <c r="T31" s="17">
        <v>5.2999999999999999E-2</v>
      </c>
      <c r="U31" s="17">
        <v>2.7E-2</v>
      </c>
      <c r="W31" s="26">
        <v>0.91820000000000002</v>
      </c>
      <c r="X31" s="26">
        <v>0.91779999999999995</v>
      </c>
      <c r="Y31" s="26">
        <v>0.91810000000000003</v>
      </c>
      <c r="Z31" s="26">
        <v>0.91469999999999996</v>
      </c>
      <c r="AB31" s="26"/>
      <c r="AC31" s="26"/>
      <c r="AD31" s="26"/>
      <c r="AE31" s="26"/>
    </row>
    <row r="32" spans="2:31" s="2" customFormat="1" ht="15" thickBot="1">
      <c r="B32" s="14"/>
      <c r="C32" s="7">
        <v>22</v>
      </c>
      <c r="D32" s="13">
        <v>74</v>
      </c>
      <c r="E32" s="13">
        <v>168</v>
      </c>
      <c r="F32" s="13">
        <v>127</v>
      </c>
      <c r="G32" s="13">
        <v>169</v>
      </c>
      <c r="H32" s="3"/>
      <c r="J32" s="10"/>
      <c r="L32" s="10">
        <f t="shared" si="0"/>
        <v>2490</v>
      </c>
      <c r="M32" s="10">
        <f t="shared" si="1"/>
        <v>2406</v>
      </c>
      <c r="N32" s="10">
        <f t="shared" si="1"/>
        <v>2752</v>
      </c>
      <c r="O32" s="10">
        <f t="shared" si="1"/>
        <v>2672</v>
      </c>
      <c r="P32" s="10"/>
      <c r="R32" s="17">
        <v>0.03</v>
      </c>
      <c r="S32" s="17">
        <v>9.9000000000000005E-2</v>
      </c>
      <c r="T32" s="17">
        <v>7.3999999999999996E-2</v>
      </c>
      <c r="U32" s="17">
        <v>4.9000000000000002E-2</v>
      </c>
      <c r="W32" s="26">
        <v>0.91200000000000003</v>
      </c>
      <c r="X32" s="26">
        <v>0.91830000000000001</v>
      </c>
      <c r="Y32" s="26">
        <v>0.91290000000000004</v>
      </c>
      <c r="Z32" s="26">
        <v>0.95</v>
      </c>
      <c r="AB32" s="26"/>
      <c r="AC32" s="26"/>
      <c r="AD32" s="26"/>
      <c r="AE32" s="26"/>
    </row>
    <row r="33" spans="2:31" s="2" customFormat="1" ht="15" thickBot="1">
      <c r="B33" s="14"/>
      <c r="C33" s="7">
        <v>23</v>
      </c>
      <c r="D33" s="13">
        <v>155</v>
      </c>
      <c r="E33" s="13">
        <v>95</v>
      </c>
      <c r="F33" s="13">
        <v>65</v>
      </c>
      <c r="G33" s="13">
        <v>112</v>
      </c>
      <c r="H33" s="3"/>
      <c r="J33" s="10"/>
      <c r="L33" s="10">
        <f t="shared" si="0"/>
        <v>2645</v>
      </c>
      <c r="M33" s="10">
        <f t="shared" si="1"/>
        <v>2501</v>
      </c>
      <c r="N33" s="10">
        <f t="shared" si="1"/>
        <v>2817</v>
      </c>
      <c r="O33" s="10">
        <f t="shared" si="1"/>
        <v>2784</v>
      </c>
      <c r="P33" s="10"/>
      <c r="R33" s="17">
        <v>8.5000000000000006E-2</v>
      </c>
      <c r="S33" s="17">
        <v>9.8000000000000004E-2</v>
      </c>
      <c r="T33" s="17">
        <v>9.8000000000000004E-2</v>
      </c>
      <c r="U33" s="17">
        <v>2.7E-2</v>
      </c>
      <c r="W33" s="26">
        <v>0.91320000000000001</v>
      </c>
      <c r="X33" s="26">
        <v>0.91739999999999999</v>
      </c>
      <c r="Y33" s="26">
        <v>0.91479999999999995</v>
      </c>
      <c r="Z33" s="26">
        <v>0.9123</v>
      </c>
      <c r="AB33" s="26"/>
      <c r="AC33" s="26"/>
      <c r="AD33" s="26"/>
      <c r="AE33" s="26"/>
    </row>
    <row r="34" spans="2:31" s="2" customFormat="1" ht="15" thickBot="1">
      <c r="B34" s="15"/>
      <c r="C34" s="16">
        <v>24</v>
      </c>
      <c r="D34" s="13">
        <v>85</v>
      </c>
      <c r="E34" s="13">
        <v>139</v>
      </c>
      <c r="F34" s="13">
        <v>112</v>
      </c>
      <c r="G34" s="13">
        <v>135</v>
      </c>
      <c r="H34" s="3"/>
      <c r="J34" s="10"/>
      <c r="L34" s="10">
        <f t="shared" si="0"/>
        <v>2730</v>
      </c>
      <c r="M34" s="10">
        <f t="shared" si="1"/>
        <v>2640</v>
      </c>
      <c r="N34" s="10">
        <f t="shared" si="1"/>
        <v>2929</v>
      </c>
      <c r="O34" s="10">
        <f t="shared" si="1"/>
        <v>2919</v>
      </c>
      <c r="P34" s="10"/>
      <c r="R34" s="17">
        <v>1.9E-2</v>
      </c>
      <c r="S34" s="17">
        <v>1.7999999999999999E-2</v>
      </c>
      <c r="T34" s="17">
        <v>4.3999999999999997E-2</v>
      </c>
      <c r="U34" s="17">
        <v>0.08</v>
      </c>
      <c r="W34" s="26">
        <v>0.91679999999999995</v>
      </c>
      <c r="X34" s="26">
        <v>0.91669999999999996</v>
      </c>
      <c r="Y34" s="26">
        <v>0.91020000000000001</v>
      </c>
      <c r="Z34" s="26">
        <v>0.91749999999999998</v>
      </c>
      <c r="AB34" s="26"/>
      <c r="AC34" s="26"/>
      <c r="AD34" s="26"/>
      <c r="AE34" s="26"/>
    </row>
    <row r="35" spans="2:31" s="2" customFormat="1" ht="15" thickBot="1">
      <c r="B35" s="11"/>
      <c r="C35" s="12">
        <v>25</v>
      </c>
      <c r="D35" s="13">
        <v>88</v>
      </c>
      <c r="E35" s="13">
        <v>84</v>
      </c>
      <c r="F35" s="13">
        <v>77</v>
      </c>
      <c r="G35" s="13">
        <v>152</v>
      </c>
      <c r="H35" s="3"/>
      <c r="J35" s="10"/>
      <c r="L35" s="10">
        <f t="shared" si="0"/>
        <v>2818</v>
      </c>
      <c r="M35" s="10">
        <f t="shared" si="1"/>
        <v>2724</v>
      </c>
      <c r="N35" s="10">
        <f t="shared" si="1"/>
        <v>3006</v>
      </c>
      <c r="O35" s="10">
        <f t="shared" si="1"/>
        <v>3071</v>
      </c>
      <c r="P35" s="10"/>
      <c r="R35" s="17">
        <v>8.5000000000000006E-2</v>
      </c>
      <c r="S35" s="17">
        <v>2.1000000000000001E-2</v>
      </c>
      <c r="T35" s="17">
        <v>5.0000000000000001E-3</v>
      </c>
      <c r="U35" s="17">
        <v>9.0999999999999998E-2</v>
      </c>
      <c r="W35" s="26">
        <v>0.91669999999999996</v>
      </c>
      <c r="X35" s="26">
        <v>0.91069999999999995</v>
      </c>
      <c r="Y35" s="26">
        <v>0.91869999999999996</v>
      </c>
      <c r="Z35" s="26">
        <v>0.91139999999999999</v>
      </c>
      <c r="AB35" s="26"/>
      <c r="AC35" s="26"/>
      <c r="AD35" s="26"/>
      <c r="AE35" s="26"/>
    </row>
    <row r="36" spans="2:31" s="2" customFormat="1" ht="15" thickBot="1">
      <c r="B36" s="14"/>
      <c r="C36" s="7">
        <v>26</v>
      </c>
      <c r="D36" s="13">
        <v>120</v>
      </c>
      <c r="E36" s="13">
        <v>84</v>
      </c>
      <c r="F36" s="13">
        <v>103</v>
      </c>
      <c r="G36" s="13">
        <v>149</v>
      </c>
      <c r="H36" s="3"/>
      <c r="J36" s="10"/>
      <c r="L36" s="10">
        <f t="shared" si="0"/>
        <v>2938</v>
      </c>
      <c r="M36" s="10">
        <f t="shared" si="1"/>
        <v>2808</v>
      </c>
      <c r="N36" s="10">
        <f t="shared" si="1"/>
        <v>3109</v>
      </c>
      <c r="O36" s="10">
        <f t="shared" si="1"/>
        <v>3220</v>
      </c>
      <c r="P36" s="10"/>
      <c r="R36" s="17">
        <v>3.5999999999999997E-2</v>
      </c>
      <c r="S36" s="17">
        <v>3.5000000000000003E-2</v>
      </c>
      <c r="T36" s="17">
        <v>4.3999999999999997E-2</v>
      </c>
      <c r="U36" s="17">
        <v>8.5999999999999993E-2</v>
      </c>
      <c r="W36" s="26">
        <v>0.91</v>
      </c>
      <c r="X36" s="26">
        <v>0.91739999999999999</v>
      </c>
      <c r="Y36" s="26">
        <v>0.91479999999999995</v>
      </c>
      <c r="Z36" s="26">
        <v>0.91859999999999997</v>
      </c>
      <c r="AB36" s="26"/>
      <c r="AC36" s="26"/>
      <c r="AD36" s="26"/>
      <c r="AE36" s="26"/>
    </row>
    <row r="37" spans="2:31" s="2" customFormat="1" ht="15" thickBot="1">
      <c r="B37" s="14"/>
      <c r="C37" s="7">
        <v>27</v>
      </c>
      <c r="D37" s="13">
        <v>91</v>
      </c>
      <c r="E37" s="13">
        <v>156</v>
      </c>
      <c r="F37" s="13">
        <v>139</v>
      </c>
      <c r="G37" s="13">
        <v>152</v>
      </c>
      <c r="H37" s="3"/>
      <c r="J37" s="10"/>
      <c r="L37" s="10">
        <f t="shared" si="0"/>
        <v>3029</v>
      </c>
      <c r="M37" s="10">
        <f t="shared" si="1"/>
        <v>2964</v>
      </c>
      <c r="N37" s="10">
        <f t="shared" si="1"/>
        <v>3248</v>
      </c>
      <c r="O37" s="10">
        <f t="shared" si="1"/>
        <v>3372</v>
      </c>
      <c r="P37" s="10"/>
      <c r="R37" s="17">
        <v>9.8000000000000004E-2</v>
      </c>
      <c r="S37" s="17">
        <v>6.7000000000000004E-2</v>
      </c>
      <c r="T37" s="17">
        <v>4.7E-2</v>
      </c>
      <c r="U37" s="17">
        <v>2.5000000000000001E-2</v>
      </c>
      <c r="W37" s="26">
        <v>0.91669999999999996</v>
      </c>
      <c r="X37" s="26">
        <v>0.91669999999999996</v>
      </c>
      <c r="Y37" s="26">
        <v>0.91710000000000003</v>
      </c>
      <c r="Z37" s="26">
        <v>0.97</v>
      </c>
      <c r="AB37" s="26"/>
      <c r="AC37" s="26"/>
      <c r="AD37" s="26"/>
      <c r="AE37" s="26"/>
    </row>
    <row r="38" spans="2:31" s="2" customFormat="1" ht="15" thickBot="1">
      <c r="B38" s="14"/>
      <c r="C38" s="7">
        <v>28</v>
      </c>
      <c r="D38" s="13">
        <v>62</v>
      </c>
      <c r="E38" s="13">
        <v>96</v>
      </c>
      <c r="F38" s="13">
        <v>93</v>
      </c>
      <c r="G38" s="13">
        <v>128</v>
      </c>
      <c r="H38" s="3"/>
      <c r="J38" s="10"/>
      <c r="L38" s="10">
        <f t="shared" si="0"/>
        <v>3091</v>
      </c>
      <c r="M38" s="10">
        <f t="shared" si="1"/>
        <v>3060</v>
      </c>
      <c r="N38" s="10">
        <f t="shared" si="1"/>
        <v>3341</v>
      </c>
      <c r="O38" s="10">
        <f t="shared" si="1"/>
        <v>3500</v>
      </c>
      <c r="P38" s="10"/>
      <c r="R38" s="17">
        <v>9.1999999999999998E-2</v>
      </c>
      <c r="S38" s="17">
        <v>1.4999999999999999E-2</v>
      </c>
      <c r="T38" s="17">
        <v>5.6000000000000001E-2</v>
      </c>
      <c r="U38" s="17">
        <v>6.7000000000000004E-2</v>
      </c>
      <c r="W38" s="26">
        <v>0.91439999999999999</v>
      </c>
      <c r="X38" s="26">
        <v>0.91710000000000003</v>
      </c>
      <c r="Y38" s="26">
        <v>0.91890000000000005</v>
      </c>
      <c r="Z38" s="26">
        <v>0.9143</v>
      </c>
      <c r="AB38" s="26"/>
      <c r="AC38" s="26"/>
      <c r="AD38" s="26"/>
      <c r="AE38" s="26"/>
    </row>
    <row r="39" spans="2:31" s="2" customFormat="1" ht="15" thickBot="1">
      <c r="B39" s="14"/>
      <c r="C39" s="7">
        <v>29</v>
      </c>
      <c r="D39" s="13">
        <v>157</v>
      </c>
      <c r="E39" s="13">
        <v>72</v>
      </c>
      <c r="F39" s="13">
        <v>149</v>
      </c>
      <c r="G39" s="13">
        <v>83</v>
      </c>
      <c r="H39" s="3"/>
      <c r="J39" s="10"/>
      <c r="L39" s="10">
        <f t="shared" si="0"/>
        <v>3248</v>
      </c>
      <c r="M39" s="10">
        <f t="shared" si="1"/>
        <v>3132</v>
      </c>
      <c r="N39" s="10">
        <f t="shared" si="1"/>
        <v>3490</v>
      </c>
      <c r="O39" s="10">
        <f t="shared" si="1"/>
        <v>3583</v>
      </c>
      <c r="P39" s="10"/>
      <c r="R39" s="17">
        <v>8.4000000000000005E-2</v>
      </c>
      <c r="S39" s="17">
        <v>1.7999999999999999E-2</v>
      </c>
      <c r="T39" s="17">
        <v>9.8000000000000004E-2</v>
      </c>
      <c r="U39" s="17">
        <v>1.6E-2</v>
      </c>
      <c r="W39" s="26">
        <v>0.91449999999999998</v>
      </c>
      <c r="X39" s="26">
        <v>0.91220000000000001</v>
      </c>
      <c r="Y39" s="26">
        <v>0.9133</v>
      </c>
      <c r="Z39" s="26">
        <v>0.9153</v>
      </c>
      <c r="AB39" s="26"/>
      <c r="AC39" s="26"/>
      <c r="AD39" s="26"/>
      <c r="AE39" s="26"/>
    </row>
    <row r="40" spans="2:31" s="2" customFormat="1" ht="15" thickBot="1">
      <c r="B40" s="14"/>
      <c r="C40" s="7">
        <v>30</v>
      </c>
      <c r="D40" s="13">
        <v>109</v>
      </c>
      <c r="E40" s="13">
        <v>98</v>
      </c>
      <c r="F40" s="13">
        <v>130</v>
      </c>
      <c r="G40" s="13">
        <v>98</v>
      </c>
      <c r="H40" s="3"/>
      <c r="J40" s="10"/>
      <c r="L40" s="10">
        <f t="shared" si="0"/>
        <v>3357</v>
      </c>
      <c r="M40" s="10">
        <f t="shared" si="1"/>
        <v>3230</v>
      </c>
      <c r="N40" s="10">
        <f t="shared" si="1"/>
        <v>3620</v>
      </c>
      <c r="O40" s="10">
        <f t="shared" si="1"/>
        <v>3681</v>
      </c>
      <c r="P40" s="10"/>
      <c r="R40" s="17">
        <v>1.0999999999999999E-2</v>
      </c>
      <c r="S40" s="17">
        <v>1.0999999999999999E-2</v>
      </c>
      <c r="T40" s="17">
        <v>4.2000000000000003E-2</v>
      </c>
      <c r="U40" s="17">
        <v>0.01</v>
      </c>
      <c r="W40" s="26">
        <v>0.90990000000000004</v>
      </c>
      <c r="X40" s="26">
        <v>0.91049999999999998</v>
      </c>
      <c r="Y40" s="26">
        <v>0.90990000000000004</v>
      </c>
      <c r="Z40" s="26">
        <v>0.91779999999999995</v>
      </c>
      <c r="AB40" s="26"/>
      <c r="AC40" s="26"/>
      <c r="AD40" s="26"/>
      <c r="AE40" s="26"/>
    </row>
    <row r="41" spans="2:31" s="2" customFormat="1" ht="15" thickBot="1">
      <c r="B41" s="14"/>
      <c r="C41" s="7">
        <v>31</v>
      </c>
      <c r="D41" s="13">
        <v>120</v>
      </c>
      <c r="E41" s="13">
        <v>106</v>
      </c>
      <c r="F41" s="13">
        <v>161</v>
      </c>
      <c r="G41" s="13">
        <v>155</v>
      </c>
      <c r="H41" s="3"/>
      <c r="J41" s="10"/>
      <c r="L41" s="10">
        <f t="shared" si="0"/>
        <v>3477</v>
      </c>
      <c r="M41" s="10">
        <f t="shared" si="1"/>
        <v>3336</v>
      </c>
      <c r="N41" s="10">
        <f t="shared" si="1"/>
        <v>3781</v>
      </c>
      <c r="O41" s="10">
        <f t="shared" si="1"/>
        <v>3836</v>
      </c>
      <c r="P41" s="10"/>
      <c r="R41" s="17">
        <v>4.2000000000000003E-2</v>
      </c>
      <c r="S41" s="17">
        <v>7.3999999999999996E-2</v>
      </c>
      <c r="T41" s="17">
        <v>4.3999999999999997E-2</v>
      </c>
      <c r="U41" s="17">
        <v>9.1999999999999998E-2</v>
      </c>
      <c r="W41" s="26">
        <v>0.91269999999999996</v>
      </c>
      <c r="X41" s="26">
        <v>0.91820000000000002</v>
      </c>
      <c r="Y41" s="26">
        <v>0.91059999999999997</v>
      </c>
      <c r="Z41" s="26">
        <v>0.90939999999999999</v>
      </c>
      <c r="AB41" s="26"/>
      <c r="AC41" s="26"/>
      <c r="AD41" s="26"/>
      <c r="AE41" s="26"/>
    </row>
    <row r="42" spans="2:31" s="2" customFormat="1" ht="15" thickBot="1">
      <c r="B42" s="14"/>
      <c r="C42" s="7">
        <v>32</v>
      </c>
      <c r="D42" s="13">
        <v>130</v>
      </c>
      <c r="E42" s="13">
        <v>96</v>
      </c>
      <c r="F42" s="13">
        <v>127</v>
      </c>
      <c r="G42" s="13">
        <v>82</v>
      </c>
      <c r="H42" s="3"/>
      <c r="J42" s="10"/>
      <c r="L42" s="10">
        <f t="shared" si="0"/>
        <v>3607</v>
      </c>
      <c r="M42" s="10">
        <f t="shared" si="1"/>
        <v>3432</v>
      </c>
      <c r="N42" s="10">
        <f t="shared" si="1"/>
        <v>3908</v>
      </c>
      <c r="O42" s="10">
        <f t="shared" si="1"/>
        <v>3918</v>
      </c>
      <c r="P42" s="10"/>
      <c r="R42" s="17">
        <v>3.2000000000000001E-2</v>
      </c>
      <c r="S42" s="17">
        <v>9.5000000000000001E-2</v>
      </c>
      <c r="T42" s="17">
        <v>3.5000000000000003E-2</v>
      </c>
      <c r="U42" s="17">
        <v>2.8000000000000001E-2</v>
      </c>
      <c r="W42" s="26">
        <v>0.91739999999999999</v>
      </c>
      <c r="X42" s="26">
        <v>0.91269999999999996</v>
      </c>
      <c r="Y42" s="26">
        <v>0.91539999999999999</v>
      </c>
      <c r="Z42" s="26">
        <v>0.91479999999999995</v>
      </c>
      <c r="AB42" s="26"/>
      <c r="AC42" s="26"/>
      <c r="AD42" s="26"/>
      <c r="AE42" s="26"/>
    </row>
    <row r="43" spans="2:31" s="2" customFormat="1" ht="15" thickBot="1">
      <c r="B43" s="14"/>
      <c r="C43" s="7">
        <v>33</v>
      </c>
      <c r="D43" s="13">
        <v>92</v>
      </c>
      <c r="E43" s="13">
        <v>135</v>
      </c>
      <c r="F43" s="13">
        <v>104</v>
      </c>
      <c r="G43" s="13">
        <v>97</v>
      </c>
      <c r="H43" s="3"/>
      <c r="J43" s="10"/>
      <c r="L43" s="10">
        <f t="shared" si="0"/>
        <v>3699</v>
      </c>
      <c r="M43" s="10">
        <f t="shared" si="1"/>
        <v>3567</v>
      </c>
      <c r="N43" s="10">
        <f t="shared" si="1"/>
        <v>4012</v>
      </c>
      <c r="O43" s="10">
        <f t="shared" si="1"/>
        <v>4015</v>
      </c>
      <c r="P43" s="10"/>
      <c r="R43" s="17">
        <v>2.7E-2</v>
      </c>
      <c r="S43" s="17">
        <v>7.5999999999999998E-2</v>
      </c>
      <c r="T43" s="17">
        <v>6.3E-2</v>
      </c>
      <c r="U43" s="17">
        <v>7.0999999999999994E-2</v>
      </c>
      <c r="W43" s="26">
        <v>0.91200000000000003</v>
      </c>
      <c r="X43" s="26">
        <v>0.91559999999999997</v>
      </c>
      <c r="Y43" s="26">
        <v>0.9133</v>
      </c>
      <c r="Z43" s="26">
        <v>0.91869999999999996</v>
      </c>
      <c r="AB43" s="26"/>
      <c r="AC43" s="26"/>
      <c r="AD43" s="26"/>
      <c r="AE43" s="26"/>
    </row>
    <row r="44" spans="2:31" s="2" customFormat="1" ht="15" thickBot="1">
      <c r="B44" s="14"/>
      <c r="C44" s="7">
        <v>34</v>
      </c>
      <c r="D44" s="13">
        <v>116</v>
      </c>
      <c r="E44" s="13">
        <v>129</v>
      </c>
      <c r="F44" s="13">
        <v>132</v>
      </c>
      <c r="G44" s="13">
        <v>89</v>
      </c>
      <c r="H44" s="3"/>
      <c r="J44" s="10"/>
      <c r="L44" s="10">
        <f t="shared" si="0"/>
        <v>3815</v>
      </c>
      <c r="M44" s="10">
        <f t="shared" si="1"/>
        <v>3696</v>
      </c>
      <c r="N44" s="10">
        <f t="shared" si="1"/>
        <v>4144</v>
      </c>
      <c r="O44" s="10">
        <f t="shared" si="1"/>
        <v>4104</v>
      </c>
      <c r="P44" s="10"/>
      <c r="R44" s="17">
        <v>5.8000000000000003E-2</v>
      </c>
      <c r="S44" s="17">
        <v>5.8999999999999997E-2</v>
      </c>
      <c r="T44" s="17">
        <v>8.1000000000000003E-2</v>
      </c>
      <c r="U44" s="17">
        <v>0.04</v>
      </c>
      <c r="W44" s="26">
        <v>0.91320000000000001</v>
      </c>
      <c r="X44" s="26">
        <v>0.9143</v>
      </c>
      <c r="Y44" s="26">
        <v>0.91790000000000005</v>
      </c>
      <c r="Z44" s="26">
        <v>0.90910000000000002</v>
      </c>
      <c r="AB44" s="26"/>
      <c r="AC44" s="26"/>
      <c r="AD44" s="26"/>
      <c r="AE44" s="26"/>
    </row>
    <row r="45" spans="2:31" s="2" customFormat="1" ht="15" thickBot="1">
      <c r="B45" s="14"/>
      <c r="C45" s="7">
        <v>35</v>
      </c>
      <c r="D45" s="13">
        <v>148</v>
      </c>
      <c r="E45" s="13">
        <v>157</v>
      </c>
      <c r="F45" s="13">
        <v>106</v>
      </c>
      <c r="G45" s="13">
        <v>110</v>
      </c>
      <c r="H45" s="3"/>
      <c r="J45" s="10"/>
      <c r="L45" s="10">
        <f t="shared" si="0"/>
        <v>3963</v>
      </c>
      <c r="M45" s="10">
        <f t="shared" si="1"/>
        <v>3853</v>
      </c>
      <c r="N45" s="10">
        <f t="shared" si="1"/>
        <v>4250</v>
      </c>
      <c r="O45" s="10">
        <f t="shared" si="1"/>
        <v>4214</v>
      </c>
      <c r="P45" s="10"/>
      <c r="R45" s="17">
        <v>3.1E-2</v>
      </c>
      <c r="S45" s="17">
        <v>6.9000000000000006E-2</v>
      </c>
      <c r="T45" s="17">
        <v>8.6999999999999994E-2</v>
      </c>
      <c r="U45" s="17">
        <v>0.05</v>
      </c>
      <c r="W45" s="26">
        <v>0.91359999999999997</v>
      </c>
      <c r="X45" s="26">
        <v>0.91349999999999998</v>
      </c>
      <c r="Y45" s="26">
        <v>0.90980000000000005</v>
      </c>
      <c r="Z45" s="26">
        <v>0.91600000000000004</v>
      </c>
      <c r="AB45" s="26"/>
      <c r="AC45" s="26"/>
      <c r="AD45" s="26"/>
      <c r="AE45" s="26"/>
    </row>
    <row r="46" spans="2:31" s="2" customFormat="1" ht="15" thickBot="1">
      <c r="B46" s="15"/>
      <c r="C46" s="16">
        <v>36</v>
      </c>
      <c r="D46" s="13">
        <v>68</v>
      </c>
      <c r="E46" s="13">
        <v>120</v>
      </c>
      <c r="F46" s="13">
        <v>167</v>
      </c>
      <c r="G46" s="13">
        <v>118</v>
      </c>
      <c r="H46" s="3"/>
      <c r="J46" s="10"/>
      <c r="L46" s="10">
        <f t="shared" si="0"/>
        <v>4031</v>
      </c>
      <c r="M46" s="10">
        <f t="shared" si="1"/>
        <v>3973</v>
      </c>
      <c r="N46" s="10">
        <f t="shared" si="1"/>
        <v>4417</v>
      </c>
      <c r="O46" s="10">
        <f t="shared" si="1"/>
        <v>4332</v>
      </c>
      <c r="P46" s="10"/>
      <c r="R46" s="17">
        <v>6.7000000000000004E-2</v>
      </c>
      <c r="S46" s="17">
        <v>8.9999999999999993E-3</v>
      </c>
      <c r="T46" s="17">
        <v>6.7000000000000004E-2</v>
      </c>
      <c r="U46" s="17">
        <v>4.8000000000000001E-2</v>
      </c>
      <c r="W46" s="26">
        <v>0.91320000000000001</v>
      </c>
      <c r="X46" s="26">
        <v>0.91820000000000002</v>
      </c>
      <c r="Y46" s="26">
        <v>0.90949999999999998</v>
      </c>
      <c r="Z46" s="26">
        <v>0.91390000000000005</v>
      </c>
      <c r="AB46" s="26"/>
      <c r="AC46" s="26"/>
      <c r="AD46" s="26"/>
      <c r="AE46" s="26"/>
    </row>
    <row r="47" spans="2:31" s="2" customFormat="1" ht="15" thickBot="1">
      <c r="B47" s="11"/>
      <c r="C47" s="12">
        <v>37</v>
      </c>
      <c r="D47" s="13">
        <v>158</v>
      </c>
      <c r="E47" s="13">
        <v>105</v>
      </c>
      <c r="F47" s="13">
        <v>102</v>
      </c>
      <c r="G47" s="13">
        <v>82</v>
      </c>
      <c r="H47" s="3"/>
      <c r="J47" s="10"/>
      <c r="L47" s="10">
        <f t="shared" si="0"/>
        <v>4189</v>
      </c>
      <c r="M47" s="10">
        <f t="shared" si="1"/>
        <v>4078</v>
      </c>
      <c r="N47" s="10">
        <f t="shared" si="1"/>
        <v>4519</v>
      </c>
      <c r="O47" s="10">
        <f t="shared" si="1"/>
        <v>4414</v>
      </c>
      <c r="P47" s="10"/>
      <c r="R47" s="17">
        <v>1.0999999999999999E-2</v>
      </c>
      <c r="S47" s="17">
        <v>4.9000000000000002E-2</v>
      </c>
      <c r="T47" s="17">
        <v>1.0999999999999999E-2</v>
      </c>
      <c r="U47" s="17">
        <v>4.2999999999999997E-2</v>
      </c>
      <c r="W47" s="26">
        <v>0.91</v>
      </c>
      <c r="X47" s="26">
        <v>0.91090000000000004</v>
      </c>
      <c r="Y47" s="26">
        <v>0.91910000000000003</v>
      </c>
      <c r="Z47" s="26">
        <v>0.91600000000000004</v>
      </c>
      <c r="AB47" s="26"/>
      <c r="AC47" s="26"/>
      <c r="AD47" s="26"/>
      <c r="AE47" s="26"/>
    </row>
    <row r="48" spans="2:31" s="2" customFormat="1" ht="15" thickBot="1">
      <c r="B48" s="14"/>
      <c r="C48" s="7">
        <v>38</v>
      </c>
      <c r="D48" s="13">
        <v>140</v>
      </c>
      <c r="E48" s="13">
        <v>154</v>
      </c>
      <c r="F48" s="13">
        <v>157</v>
      </c>
      <c r="G48" s="13">
        <v>118</v>
      </c>
      <c r="H48" s="3"/>
      <c r="J48" s="10"/>
      <c r="L48" s="10">
        <f t="shared" si="0"/>
        <v>4329</v>
      </c>
      <c r="M48" s="10">
        <f t="shared" si="1"/>
        <v>4232</v>
      </c>
      <c r="N48" s="10">
        <f t="shared" si="1"/>
        <v>4676</v>
      </c>
      <c r="O48" s="10">
        <f t="shared" si="1"/>
        <v>4532</v>
      </c>
      <c r="P48" s="10"/>
      <c r="R48" s="17">
        <v>7.8E-2</v>
      </c>
      <c r="S48" s="17">
        <v>9.9000000000000005E-2</v>
      </c>
      <c r="T48" s="17">
        <v>5.8000000000000003E-2</v>
      </c>
      <c r="U48" s="17">
        <v>4.8000000000000001E-2</v>
      </c>
      <c r="W48" s="26">
        <v>0.91410000000000002</v>
      </c>
      <c r="X48" s="26">
        <v>0.91420000000000001</v>
      </c>
      <c r="Y48" s="26">
        <v>0.91190000000000004</v>
      </c>
      <c r="Z48" s="26">
        <v>0.9123</v>
      </c>
      <c r="AB48" s="26"/>
      <c r="AC48" s="26"/>
      <c r="AD48" s="26"/>
      <c r="AE48" s="26"/>
    </row>
    <row r="49" spans="2:31" s="2" customFormat="1" ht="15" thickBot="1">
      <c r="B49" s="14"/>
      <c r="C49" s="7">
        <v>39</v>
      </c>
      <c r="D49" s="13">
        <v>77</v>
      </c>
      <c r="E49" s="13">
        <v>86</v>
      </c>
      <c r="F49" s="13">
        <v>163</v>
      </c>
      <c r="G49" s="13">
        <v>131</v>
      </c>
      <c r="H49" s="3"/>
      <c r="J49" s="10"/>
      <c r="L49" s="10">
        <f t="shared" si="0"/>
        <v>4406</v>
      </c>
      <c r="M49" s="10">
        <f t="shared" si="1"/>
        <v>4318</v>
      </c>
      <c r="N49" s="10">
        <f t="shared" si="1"/>
        <v>4839</v>
      </c>
      <c r="O49" s="10">
        <f t="shared" si="1"/>
        <v>4663</v>
      </c>
      <c r="P49" s="10"/>
      <c r="R49" s="17">
        <v>4.2000000000000003E-2</v>
      </c>
      <c r="S49" s="17">
        <v>3.2000000000000001E-2</v>
      </c>
      <c r="T49" s="17">
        <v>3.6999999999999998E-2</v>
      </c>
      <c r="U49" s="17">
        <v>3.1E-2</v>
      </c>
      <c r="W49" s="26">
        <v>0.91239999999999999</v>
      </c>
      <c r="X49" s="26">
        <v>0.91180000000000005</v>
      </c>
      <c r="Y49" s="26">
        <v>0.90939999999999999</v>
      </c>
      <c r="Z49" s="26">
        <v>0.91139999999999999</v>
      </c>
      <c r="AB49" s="26"/>
      <c r="AC49" s="26"/>
      <c r="AD49" s="26"/>
      <c r="AE49" s="26"/>
    </row>
    <row r="50" spans="2:31" s="2" customFormat="1" ht="15" thickBot="1">
      <c r="B50" s="14"/>
      <c r="C50" s="7">
        <v>40</v>
      </c>
      <c r="D50" s="13">
        <v>165</v>
      </c>
      <c r="E50" s="13">
        <v>92</v>
      </c>
      <c r="F50" s="13">
        <v>167</v>
      </c>
      <c r="G50" s="13">
        <v>94</v>
      </c>
      <c r="H50" s="3"/>
      <c r="J50" s="10"/>
      <c r="L50" s="10">
        <f t="shared" si="0"/>
        <v>4571</v>
      </c>
      <c r="M50" s="10">
        <f t="shared" si="1"/>
        <v>4410</v>
      </c>
      <c r="N50" s="10">
        <f t="shared" si="1"/>
        <v>5006</v>
      </c>
      <c r="O50" s="10">
        <f t="shared" si="1"/>
        <v>4757</v>
      </c>
      <c r="P50" s="10"/>
      <c r="R50" s="17">
        <v>0</v>
      </c>
      <c r="S50" s="17">
        <v>1.2E-2</v>
      </c>
      <c r="T50" s="17">
        <v>6.7000000000000004E-2</v>
      </c>
      <c r="U50" s="17">
        <v>0.09</v>
      </c>
      <c r="W50" s="26">
        <v>0.90980000000000005</v>
      </c>
      <c r="X50" s="26">
        <v>0.91110000000000002</v>
      </c>
      <c r="Y50" s="26">
        <v>0.91300000000000003</v>
      </c>
      <c r="Z50" s="26">
        <v>0.91059999999999997</v>
      </c>
      <c r="AB50" s="26"/>
      <c r="AC50" s="26"/>
      <c r="AD50" s="26"/>
      <c r="AE50" s="26"/>
    </row>
    <row r="51" spans="2:31" s="2" customFormat="1" ht="15" thickBot="1">
      <c r="B51" s="14"/>
      <c r="C51" s="7">
        <v>41</v>
      </c>
      <c r="D51" s="13">
        <v>118</v>
      </c>
      <c r="E51" s="13">
        <v>79</v>
      </c>
      <c r="F51" s="13">
        <v>61</v>
      </c>
      <c r="G51" s="13">
        <v>166</v>
      </c>
      <c r="H51" s="3"/>
      <c r="J51" s="10"/>
      <c r="L51" s="10">
        <f t="shared" si="0"/>
        <v>4689</v>
      </c>
      <c r="M51" s="10">
        <f t="shared" si="1"/>
        <v>4489</v>
      </c>
      <c r="N51" s="10">
        <f t="shared" si="1"/>
        <v>5067</v>
      </c>
      <c r="O51" s="10">
        <f t="shared" si="1"/>
        <v>4923</v>
      </c>
      <c r="P51" s="10"/>
      <c r="R51" s="17">
        <v>2.5999999999999999E-2</v>
      </c>
      <c r="S51" s="17">
        <v>8.7999999999999995E-2</v>
      </c>
      <c r="T51" s="17">
        <v>0.08</v>
      </c>
      <c r="U51" s="17">
        <v>2.1000000000000001E-2</v>
      </c>
      <c r="W51" s="26">
        <v>0.91320000000000001</v>
      </c>
      <c r="X51" s="26">
        <v>0.91259999999999997</v>
      </c>
      <c r="Y51" s="26">
        <v>0.91739999999999999</v>
      </c>
      <c r="Z51" s="26">
        <v>0.91090000000000004</v>
      </c>
      <c r="AB51" s="26"/>
      <c r="AC51" s="26"/>
      <c r="AD51" s="26"/>
      <c r="AE51" s="26"/>
    </row>
    <row r="52" spans="2:31" s="2" customFormat="1" ht="15" thickBot="1">
      <c r="B52" s="14"/>
      <c r="C52" s="7">
        <v>42</v>
      </c>
      <c r="D52" s="13">
        <v>167</v>
      </c>
      <c r="E52" s="13">
        <v>87</v>
      </c>
      <c r="F52" s="13">
        <v>72</v>
      </c>
      <c r="G52" s="13">
        <v>89</v>
      </c>
      <c r="H52" s="3"/>
      <c r="J52" s="10"/>
      <c r="L52" s="10">
        <f t="shared" si="0"/>
        <v>4856</v>
      </c>
      <c r="M52" s="10">
        <f t="shared" si="1"/>
        <v>4576</v>
      </c>
      <c r="N52" s="10">
        <f t="shared" si="1"/>
        <v>5139</v>
      </c>
      <c r="O52" s="10">
        <f t="shared" si="1"/>
        <v>5012</v>
      </c>
      <c r="P52" s="10"/>
      <c r="R52" s="17">
        <v>2.8000000000000001E-2</v>
      </c>
      <c r="S52" s="17">
        <v>6.5000000000000002E-2</v>
      </c>
      <c r="T52" s="17">
        <v>3.5999999999999997E-2</v>
      </c>
      <c r="U52" s="17">
        <v>7.4999999999999997E-2</v>
      </c>
      <c r="W52" s="26">
        <v>0.91120000000000001</v>
      </c>
      <c r="X52" s="26">
        <v>0.9133</v>
      </c>
      <c r="Y52" s="26">
        <v>0.9143</v>
      </c>
      <c r="Z52" s="26">
        <v>0.91579999999999995</v>
      </c>
      <c r="AB52" s="26"/>
      <c r="AC52" s="26"/>
      <c r="AD52" s="26"/>
      <c r="AE52" s="26"/>
    </row>
    <row r="53" spans="2:31" s="2" customFormat="1" ht="15" thickBot="1">
      <c r="B53" s="14"/>
      <c r="C53" s="7">
        <v>43</v>
      </c>
      <c r="D53" s="13">
        <v>120</v>
      </c>
      <c r="E53" s="13">
        <v>123</v>
      </c>
      <c r="F53" s="13">
        <v>81</v>
      </c>
      <c r="G53" s="13">
        <v>117</v>
      </c>
      <c r="H53" s="3"/>
      <c r="J53" s="10"/>
      <c r="L53" s="10">
        <f t="shared" si="0"/>
        <v>4976</v>
      </c>
      <c r="M53" s="10">
        <f t="shared" si="1"/>
        <v>4699</v>
      </c>
      <c r="N53" s="10">
        <f t="shared" si="1"/>
        <v>5220</v>
      </c>
      <c r="O53" s="10">
        <f t="shared" si="1"/>
        <v>5129</v>
      </c>
      <c r="P53" s="10"/>
      <c r="R53" s="17">
        <v>6.5000000000000002E-2</v>
      </c>
      <c r="S53" s="17">
        <v>4.1000000000000002E-2</v>
      </c>
      <c r="T53" s="17">
        <v>9.8000000000000004E-2</v>
      </c>
      <c r="U53" s="17">
        <v>2.7E-2</v>
      </c>
      <c r="W53" s="26">
        <v>0.91590000000000005</v>
      </c>
      <c r="X53" s="26">
        <v>0.9123</v>
      </c>
      <c r="Y53" s="26">
        <v>0.91759999999999997</v>
      </c>
      <c r="Z53" s="26">
        <v>0.91100000000000003</v>
      </c>
      <c r="AB53" s="26"/>
      <c r="AC53" s="26"/>
      <c r="AD53" s="26"/>
      <c r="AE53" s="26"/>
    </row>
    <row r="54" spans="2:31" s="2" customFormat="1" ht="15" thickBot="1">
      <c r="B54" s="14"/>
      <c r="C54" s="7">
        <v>44</v>
      </c>
      <c r="D54" s="13">
        <v>123</v>
      </c>
      <c r="E54" s="13">
        <v>136</v>
      </c>
      <c r="F54" s="13">
        <v>139</v>
      </c>
      <c r="G54" s="13">
        <v>89</v>
      </c>
      <c r="H54" s="3"/>
      <c r="J54" s="10"/>
      <c r="L54" s="10">
        <f t="shared" si="0"/>
        <v>5099</v>
      </c>
      <c r="M54" s="10">
        <f t="shared" si="1"/>
        <v>4835</v>
      </c>
      <c r="N54" s="10">
        <f t="shared" si="1"/>
        <v>5359</v>
      </c>
      <c r="O54" s="10">
        <f t="shared" si="1"/>
        <v>5218</v>
      </c>
      <c r="P54" s="10"/>
      <c r="R54" s="17">
        <v>5.6000000000000001E-2</v>
      </c>
      <c r="S54" s="17">
        <v>2.3E-2</v>
      </c>
      <c r="T54" s="17">
        <v>7.4999999999999997E-2</v>
      </c>
      <c r="U54" s="17">
        <v>1.4E-2</v>
      </c>
      <c r="W54" s="26">
        <v>0.91269999999999996</v>
      </c>
      <c r="X54" s="26">
        <v>0.91169999999999995</v>
      </c>
      <c r="Y54" s="26">
        <v>0.91700000000000004</v>
      </c>
      <c r="Z54" s="26">
        <v>0.90949999999999998</v>
      </c>
      <c r="AB54" s="26"/>
      <c r="AC54" s="26"/>
      <c r="AD54" s="26"/>
      <c r="AE54" s="26"/>
    </row>
    <row r="55" spans="2:31" s="2" customFormat="1" ht="15" thickBot="1">
      <c r="B55" s="14"/>
      <c r="C55" s="7">
        <v>45</v>
      </c>
      <c r="D55" s="13">
        <v>64</v>
      </c>
      <c r="E55" s="13">
        <v>163</v>
      </c>
      <c r="F55" s="13">
        <v>146</v>
      </c>
      <c r="G55" s="13">
        <v>67</v>
      </c>
      <c r="H55" s="3"/>
      <c r="J55" s="10"/>
      <c r="L55" s="10">
        <f t="shared" si="0"/>
        <v>5163</v>
      </c>
      <c r="M55" s="10">
        <f t="shared" si="1"/>
        <v>4998</v>
      </c>
      <c r="N55" s="10">
        <f t="shared" si="1"/>
        <v>5505</v>
      </c>
      <c r="O55" s="10">
        <f t="shared" si="1"/>
        <v>5285</v>
      </c>
      <c r="P55" s="10"/>
      <c r="R55" s="17">
        <v>8.9999999999999993E-3</v>
      </c>
      <c r="S55" s="17">
        <v>2.1000000000000001E-2</v>
      </c>
      <c r="T55" s="17">
        <v>4.5999999999999999E-2</v>
      </c>
      <c r="U55" s="17">
        <v>2.3E-2</v>
      </c>
      <c r="W55" s="26">
        <v>0.9173</v>
      </c>
      <c r="X55" s="26">
        <v>0.90980000000000005</v>
      </c>
      <c r="Y55" s="26">
        <v>0.91710000000000003</v>
      </c>
      <c r="Z55" s="26">
        <v>0.91090000000000004</v>
      </c>
      <c r="AB55" s="26"/>
      <c r="AC55" s="26"/>
      <c r="AD55" s="26"/>
      <c r="AE55" s="26"/>
    </row>
    <row r="56" spans="2:31" s="2" customFormat="1" ht="15" thickBot="1">
      <c r="B56" s="14"/>
      <c r="C56" s="7">
        <v>46</v>
      </c>
      <c r="D56" s="13">
        <v>124</v>
      </c>
      <c r="E56" s="13">
        <v>85</v>
      </c>
      <c r="F56" s="13">
        <v>100</v>
      </c>
      <c r="G56" s="13">
        <v>142</v>
      </c>
      <c r="H56" s="3"/>
      <c r="J56" s="10"/>
      <c r="L56" s="10">
        <f t="shared" si="0"/>
        <v>5287</v>
      </c>
      <c r="M56" s="10">
        <f t="shared" si="1"/>
        <v>5083</v>
      </c>
      <c r="N56" s="10">
        <f t="shared" si="1"/>
        <v>5605</v>
      </c>
      <c r="O56" s="10">
        <f t="shared" si="1"/>
        <v>5427</v>
      </c>
      <c r="P56" s="10"/>
      <c r="R56" s="17">
        <v>1E-3</v>
      </c>
      <c r="S56" s="17">
        <v>5.3999999999999999E-2</v>
      </c>
      <c r="T56" s="17">
        <v>3.6999999999999998E-2</v>
      </c>
      <c r="U56" s="17">
        <v>3.7999999999999999E-2</v>
      </c>
      <c r="W56" s="26">
        <v>0.90910000000000002</v>
      </c>
      <c r="X56" s="26">
        <v>0.91659999999999997</v>
      </c>
      <c r="Y56" s="26">
        <v>0.91159999999999997</v>
      </c>
      <c r="Z56" s="26">
        <v>0.9123</v>
      </c>
      <c r="AB56" s="26"/>
      <c r="AC56" s="26"/>
      <c r="AD56" s="26"/>
      <c r="AE56" s="26"/>
    </row>
    <row r="57" spans="2:31" s="2" customFormat="1" ht="15" thickBot="1">
      <c r="B57" s="14"/>
      <c r="C57" s="7">
        <v>47</v>
      </c>
      <c r="D57" s="13">
        <v>69</v>
      </c>
      <c r="E57" s="13">
        <v>158</v>
      </c>
      <c r="F57" s="13">
        <v>61</v>
      </c>
      <c r="G57" s="13">
        <v>81</v>
      </c>
      <c r="H57" s="3"/>
      <c r="J57" s="10"/>
      <c r="L57" s="10">
        <f t="shared" si="0"/>
        <v>5356</v>
      </c>
      <c r="M57" s="10">
        <f t="shared" si="1"/>
        <v>5241</v>
      </c>
      <c r="N57" s="10">
        <f t="shared" si="1"/>
        <v>5666</v>
      </c>
      <c r="O57" s="10">
        <f t="shared" si="1"/>
        <v>5508</v>
      </c>
      <c r="P57" s="10"/>
      <c r="R57" s="17">
        <v>1.2999999999999999E-2</v>
      </c>
      <c r="S57" s="17">
        <v>1.0999999999999999E-2</v>
      </c>
      <c r="T57" s="17">
        <v>6.4000000000000001E-2</v>
      </c>
      <c r="U57" s="17">
        <v>2E-3</v>
      </c>
      <c r="W57" s="26">
        <v>0.91720000000000002</v>
      </c>
      <c r="X57" s="26">
        <v>0.91910000000000003</v>
      </c>
      <c r="Y57" s="26">
        <v>0.91600000000000004</v>
      </c>
      <c r="Z57" s="26">
        <v>0.91279999999999994</v>
      </c>
      <c r="AB57" s="26"/>
      <c r="AC57" s="26"/>
      <c r="AD57" s="26"/>
      <c r="AE57" s="26"/>
    </row>
    <row r="58" spans="2:31" s="2" customFormat="1" ht="15" thickBot="1">
      <c r="B58" s="15"/>
      <c r="C58" s="16">
        <v>48</v>
      </c>
      <c r="D58" s="13">
        <v>107</v>
      </c>
      <c r="E58" s="13">
        <v>105</v>
      </c>
      <c r="F58" s="13">
        <v>108</v>
      </c>
      <c r="G58" s="13">
        <v>123</v>
      </c>
      <c r="H58" s="3"/>
      <c r="J58" s="10"/>
      <c r="L58" s="10">
        <f t="shared" si="0"/>
        <v>5463</v>
      </c>
      <c r="M58" s="10">
        <f t="shared" si="1"/>
        <v>5346</v>
      </c>
      <c r="N58" s="10">
        <f t="shared" si="1"/>
        <v>5774</v>
      </c>
      <c r="O58" s="10">
        <f t="shared" si="1"/>
        <v>5631</v>
      </c>
      <c r="P58" s="10"/>
      <c r="R58" s="17">
        <v>6.6000000000000003E-2</v>
      </c>
      <c r="S58" s="17">
        <v>5.2999999999999999E-2</v>
      </c>
      <c r="T58" s="17">
        <v>0.09</v>
      </c>
      <c r="U58" s="17">
        <v>7.4999999999999997E-2</v>
      </c>
      <c r="W58" s="26">
        <v>0.9113</v>
      </c>
      <c r="X58" s="26">
        <v>0.9113</v>
      </c>
      <c r="Y58" s="26">
        <v>0.91310000000000002</v>
      </c>
      <c r="Z58" s="26">
        <v>0.91110000000000002</v>
      </c>
      <c r="AB58" s="26"/>
      <c r="AC58" s="26"/>
      <c r="AD58" s="26"/>
      <c r="AE58" s="26"/>
    </row>
    <row r="59" spans="2:31" s="2" customFormat="1"/>
  </sheetData>
  <mergeCells count="4">
    <mergeCell ref="L8:O8"/>
    <mergeCell ref="R8:U8"/>
    <mergeCell ref="W8:Z8"/>
    <mergeCell ref="D8:G8"/>
  </mergeCells>
  <phoneticPr fontId="2" type="noConversion"/>
  <printOptions horizontalCentered="1"/>
  <pageMargins left="0.19685039370078741" right="0.19685039370078741" top="0.39370078740157483" bottom="0.39370078740157483" header="0.19685039370078741" footer="0.19685039370078741"/>
  <pageSetup paperSize="9" scale="45" fitToHeight="0" orientation="portrait" r:id="rId1"/>
  <headerFooter alignWithMargins="0"/>
  <ignoredErrors>
    <ignoredError sqref="L1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2:AH20"/>
  <sheetViews>
    <sheetView showGridLines="0" workbookViewId="0">
      <selection activeCell="AB18" sqref="AB18"/>
    </sheetView>
  </sheetViews>
  <sheetFormatPr defaultRowHeight="14.25"/>
  <cols>
    <col min="1" max="1" width="9.140625" style="8"/>
    <col min="2" max="2" width="7.140625" style="8" customWidth="1"/>
    <col min="3" max="6" width="4" style="8" bestFit="1" customWidth="1"/>
    <col min="7" max="7" width="4.85546875" style="8" bestFit="1" customWidth="1"/>
    <col min="8" max="8" width="3.85546875" style="8" bestFit="1" customWidth="1"/>
    <col min="9" max="11" width="0.7109375" style="8" customWidth="1"/>
    <col min="12" max="12" width="7.140625" style="8" customWidth="1"/>
    <col min="13" max="17" width="6" style="8" bestFit="1" customWidth="1"/>
    <col min="18" max="18" width="3.85546875" style="8" bestFit="1" customWidth="1"/>
    <col min="19" max="19" width="1.5703125" style="8" customWidth="1"/>
    <col min="20" max="26" width="7.140625" style="8" customWidth="1"/>
    <col min="27" max="27" width="9.140625" style="8"/>
    <col min="28" max="28" width="16.28515625" style="8" bestFit="1" customWidth="1"/>
    <col min="29" max="16384" width="9.140625" style="8"/>
  </cols>
  <sheetData>
    <row r="2" spans="2:34" ht="33.75" customHeight="1">
      <c r="B2" s="105" t="s">
        <v>12</v>
      </c>
      <c r="C2" s="105"/>
      <c r="D2" s="105"/>
      <c r="E2" s="105"/>
      <c r="F2" s="105"/>
      <c r="G2" s="105"/>
      <c r="H2" s="105"/>
      <c r="I2" s="46"/>
      <c r="J2" s="46"/>
      <c r="K2" s="46"/>
      <c r="L2" s="104" t="s">
        <v>14</v>
      </c>
      <c r="M2" s="104"/>
      <c r="N2" s="104"/>
      <c r="O2" s="104"/>
      <c r="P2" s="104"/>
      <c r="Q2" s="104"/>
      <c r="R2" s="104"/>
      <c r="S2" s="46"/>
      <c r="T2" s="106" t="s">
        <v>16</v>
      </c>
      <c r="U2" s="106"/>
      <c r="V2" s="106"/>
      <c r="W2" s="106"/>
      <c r="X2" s="106"/>
      <c r="Y2" s="106"/>
      <c r="Z2" s="106"/>
      <c r="AB2" s="105" t="s">
        <v>52</v>
      </c>
      <c r="AC2" s="105"/>
      <c r="AD2" s="105"/>
      <c r="AE2" s="105"/>
      <c r="AF2" s="105"/>
      <c r="AG2" s="105"/>
      <c r="AH2" s="105"/>
    </row>
    <row r="3" spans="2:34">
      <c r="AB3" s="105"/>
      <c r="AC3" s="105"/>
      <c r="AD3" s="105"/>
      <c r="AE3" s="105"/>
      <c r="AF3" s="105"/>
      <c r="AG3" s="105"/>
      <c r="AH3" s="105"/>
    </row>
    <row r="4" spans="2:34">
      <c r="C4" s="24" t="s">
        <v>7</v>
      </c>
      <c r="D4" s="24" t="s">
        <v>8</v>
      </c>
      <c r="E4" s="24" t="s">
        <v>9</v>
      </c>
      <c r="F4" s="24" t="s">
        <v>10</v>
      </c>
      <c r="G4" s="24" t="s">
        <v>13</v>
      </c>
      <c r="H4" s="50" t="s">
        <v>11</v>
      </c>
      <c r="M4" s="24" t="s">
        <v>7</v>
      </c>
      <c r="N4" s="24" t="s">
        <v>8</v>
      </c>
      <c r="O4" s="24" t="s">
        <v>9</v>
      </c>
      <c r="P4" s="24" t="s">
        <v>10</v>
      </c>
      <c r="Q4" s="24" t="s">
        <v>13</v>
      </c>
      <c r="R4" s="50" t="s">
        <v>11</v>
      </c>
      <c r="U4" s="24" t="s">
        <v>7</v>
      </c>
      <c r="V4" s="24" t="s">
        <v>8</v>
      </c>
      <c r="W4" s="24" t="s">
        <v>9</v>
      </c>
      <c r="X4" s="24" t="s">
        <v>10</v>
      </c>
      <c r="Y4" s="24" t="s">
        <v>13</v>
      </c>
      <c r="Z4" s="50" t="s">
        <v>11</v>
      </c>
      <c r="AC4" s="50" t="s">
        <v>48</v>
      </c>
      <c r="AD4" s="50" t="s">
        <v>49</v>
      </c>
      <c r="AE4" s="50" t="s">
        <v>50</v>
      </c>
      <c r="AF4" s="50" t="s">
        <v>51</v>
      </c>
    </row>
    <row r="5" spans="2:34">
      <c r="B5" s="23">
        <f>+data!$C$4</f>
        <v>6</v>
      </c>
      <c r="C5" s="8">
        <f>+VLOOKUP(B5,data!$C$11:$G$58,2,0)</f>
        <v>107</v>
      </c>
      <c r="D5" s="8">
        <f>+VLOOKUP(B5,data!$C$11:$G$58,3,0)</f>
        <v>97</v>
      </c>
      <c r="E5" s="8">
        <f>+VLOOKUP(B5,data!$C$11:$G$58,4,0)</f>
        <v>163</v>
      </c>
      <c r="F5" s="8">
        <f>+VLOOKUP(B5,data!$C$11:$G$58,5,0)</f>
        <v>161</v>
      </c>
      <c r="G5" s="22">
        <f>+AVERAGE(C5:F5)</f>
        <v>132</v>
      </c>
      <c r="H5" s="51">
        <f>+dashboard!$H$17</f>
        <v>80</v>
      </c>
      <c r="J5" s="60"/>
      <c r="K5" s="61"/>
      <c r="L5" s="23">
        <f>+data!$C$4</f>
        <v>6</v>
      </c>
      <c r="M5" s="25">
        <f>+VLOOKUP(L5,data!$C$11:$U$58,16,0)</f>
        <v>2.1000000000000001E-2</v>
      </c>
      <c r="N5" s="25">
        <f>+VLOOKUP(L5,data!$C$11:$U$58,17,0)</f>
        <v>2.5000000000000001E-2</v>
      </c>
      <c r="O5" s="25">
        <f>+VLOOKUP(L5,data!$C$11:$U$58,18,0)</f>
        <v>8.1000000000000003E-2</v>
      </c>
      <c r="P5" s="25">
        <f>+VLOOKUP(L5,data!$C$11:$U$58,19,0)</f>
        <v>3.7999999999999999E-2</v>
      </c>
      <c r="Q5" s="25">
        <f>+AVERAGE(M5:P5)</f>
        <v>4.1250000000000002E-2</v>
      </c>
      <c r="R5" s="52">
        <f>+dashboard!$H$18</f>
        <v>0.04</v>
      </c>
      <c r="T5" s="23">
        <f>+data!$C$4</f>
        <v>6</v>
      </c>
      <c r="U5" s="25">
        <f>+VLOOKUP(T5,data!$C$11:$AA$58,21,0)</f>
        <v>0.9103</v>
      </c>
      <c r="V5" s="25">
        <f>+VLOOKUP(T5,data!$C$11:$AA$58,22,0)</f>
        <v>0.91180000000000005</v>
      </c>
      <c r="W5" s="25">
        <f>+VLOOKUP(T5,data!$C$11:$AA$58,23,0)</f>
        <v>0.90990000000000004</v>
      </c>
      <c r="X5" s="25">
        <f>+VLOOKUP(T5,data!$C$11:$AA$58,24,0)</f>
        <v>0.91510000000000002</v>
      </c>
      <c r="Y5" s="25">
        <f>+AVERAGE(U5:X5)</f>
        <v>0.911775</v>
      </c>
      <c r="Z5" s="53">
        <f>+dashboard!$H$19</f>
        <v>0.91</v>
      </c>
      <c r="AB5" s="8" t="s">
        <v>12</v>
      </c>
      <c r="AC5" s="64">
        <f>100%-(C$5/$H$5)</f>
        <v>-0.33749999999999991</v>
      </c>
      <c r="AD5" s="64">
        <f t="shared" ref="AD5:AF5" si="0">100%-(D$5/$H$5)</f>
        <v>-0.21249999999999991</v>
      </c>
      <c r="AE5" s="64">
        <f t="shared" si="0"/>
        <v>-1.0375000000000001</v>
      </c>
      <c r="AF5" s="64">
        <f t="shared" si="0"/>
        <v>-1.0125000000000002</v>
      </c>
    </row>
    <row r="6" spans="2:34">
      <c r="B6" s="23">
        <f>+B5+1</f>
        <v>7</v>
      </c>
      <c r="C6" s="8">
        <f>+VLOOKUP(B6,data!$C$11:$G$58,2,0)</f>
        <v>69</v>
      </c>
      <c r="D6" s="8">
        <f>+VLOOKUP(B6,data!$C$11:$G$58,3,0)</f>
        <v>88</v>
      </c>
      <c r="E6" s="8">
        <f>+VLOOKUP(B6,data!$C$11:$G$58,4,0)</f>
        <v>168</v>
      </c>
      <c r="F6" s="8">
        <f>+VLOOKUP(B6,data!$C$11:$G$58,5,0)</f>
        <v>85</v>
      </c>
      <c r="G6" s="22">
        <f t="shared" ref="G6:G16" si="1">+AVERAGE(C6:F6)</f>
        <v>102.5</v>
      </c>
      <c r="H6" s="51">
        <f>+dashboard!$H$17</f>
        <v>80</v>
      </c>
      <c r="J6" s="60"/>
      <c r="K6" s="61"/>
      <c r="L6" s="23">
        <f>+L5+1</f>
        <v>7</v>
      </c>
      <c r="M6" s="25">
        <f>+VLOOKUP(L6,data!$C$11:$U$58,16,0)</f>
        <v>7.3999999999999996E-2</v>
      </c>
      <c r="N6" s="25">
        <f>+VLOOKUP(L6,data!$C$11:$U$58,17,0)</f>
        <v>5.0000000000000001E-3</v>
      </c>
      <c r="O6" s="25">
        <f>+VLOOKUP(L6,data!$C$11:$U$58,18,0)</f>
        <v>4.7E-2</v>
      </c>
      <c r="P6" s="25">
        <f>+VLOOKUP(L6,data!$C$11:$U$58,19,0)</f>
        <v>3.9E-2</v>
      </c>
      <c r="Q6" s="25">
        <f t="shared" ref="Q6:Q16" si="2">+AVERAGE(M6:P6)</f>
        <v>4.1250000000000002E-2</v>
      </c>
      <c r="R6" s="52">
        <f>+dashboard!$H$18</f>
        <v>0.04</v>
      </c>
      <c r="T6" s="23">
        <f>+T5+1</f>
        <v>7</v>
      </c>
      <c r="U6" s="25">
        <f>+VLOOKUP(T6,data!$C$11:$AA$58,21,0)</f>
        <v>0.90959999999999996</v>
      </c>
      <c r="V6" s="25">
        <f>+VLOOKUP(T6,data!$C$11:$AA$58,22,0)</f>
        <v>0.91669999999999996</v>
      </c>
      <c r="W6" s="25">
        <f>+VLOOKUP(T6,data!$C$11:$AA$58,23,0)</f>
        <v>0.91720000000000002</v>
      </c>
      <c r="X6" s="25">
        <f>+VLOOKUP(T6,data!$C$11:$AA$58,24,0)</f>
        <v>0.91720000000000002</v>
      </c>
      <c r="Y6" s="25">
        <f t="shared" ref="Y6:Y16" si="3">+AVERAGE(U6:X6)</f>
        <v>0.91517500000000007</v>
      </c>
      <c r="Z6" s="53">
        <f>+dashboard!$H$19</f>
        <v>0.91</v>
      </c>
      <c r="AB6" s="8" t="s">
        <v>15</v>
      </c>
      <c r="AC6" s="64">
        <f>100%-(M$5/$R$5)</f>
        <v>0.47499999999999998</v>
      </c>
      <c r="AD6" s="64">
        <f t="shared" ref="AD6:AF6" si="4">100%-(N$5/$R$5)</f>
        <v>0.375</v>
      </c>
      <c r="AE6" s="64">
        <f t="shared" si="4"/>
        <v>-1.0249999999999999</v>
      </c>
      <c r="AF6" s="64">
        <f t="shared" si="4"/>
        <v>5.0000000000000044E-2</v>
      </c>
    </row>
    <row r="7" spans="2:34">
      <c r="B7" s="23">
        <f t="shared" ref="B7:B16" si="5">+B6+1</f>
        <v>8</v>
      </c>
      <c r="C7" s="8">
        <f>+VLOOKUP(B7,data!$C$11:$G$58,2,0)</f>
        <v>163</v>
      </c>
      <c r="D7" s="8">
        <f>+VLOOKUP(B7,data!$C$11:$G$58,3,0)</f>
        <v>147</v>
      </c>
      <c r="E7" s="8">
        <f>+VLOOKUP(B7,data!$C$11:$G$58,4,0)</f>
        <v>109</v>
      </c>
      <c r="F7" s="8">
        <f>+VLOOKUP(B7,data!$C$11:$G$58,5,0)</f>
        <v>94</v>
      </c>
      <c r="G7" s="22">
        <f t="shared" si="1"/>
        <v>128.25</v>
      </c>
      <c r="H7" s="51">
        <f>+dashboard!$H$17</f>
        <v>80</v>
      </c>
      <c r="J7" s="60"/>
      <c r="K7" s="61"/>
      <c r="L7" s="23">
        <f t="shared" ref="L7:L16" si="6">+L6+1</f>
        <v>8</v>
      </c>
      <c r="M7" s="25">
        <f>+VLOOKUP(L7,data!$C$11:$U$58,16,0)</f>
        <v>5.1999999999999998E-2</v>
      </c>
      <c r="N7" s="25">
        <f>+VLOOKUP(L7,data!$C$11:$U$58,17,0)</f>
        <v>1.2E-2</v>
      </c>
      <c r="O7" s="25">
        <f>+VLOOKUP(L7,data!$C$11:$U$58,18,0)</f>
        <v>0.05</v>
      </c>
      <c r="P7" s="25">
        <f>+VLOOKUP(L7,data!$C$11:$U$58,19,0)</f>
        <v>7.0999999999999994E-2</v>
      </c>
      <c r="Q7" s="25">
        <f t="shared" si="2"/>
        <v>4.6249999999999999E-2</v>
      </c>
      <c r="R7" s="52">
        <f>+dashboard!$H$18</f>
        <v>0.04</v>
      </c>
      <c r="T7" s="23">
        <f t="shared" ref="T7:T16" si="7">+T6+1</f>
        <v>8</v>
      </c>
      <c r="U7" s="25">
        <f>+VLOOKUP(T7,data!$C$11:$AA$58,21,0)</f>
        <v>0.9123</v>
      </c>
      <c r="V7" s="25">
        <f>+VLOOKUP(T7,data!$C$11:$AA$58,22,0)</f>
        <v>0.91839999999999999</v>
      </c>
      <c r="W7" s="25">
        <f>+VLOOKUP(T7,data!$C$11:$AA$58,23,0)</f>
        <v>0.91279999999999994</v>
      </c>
      <c r="X7" s="25">
        <f>+VLOOKUP(T7,data!$C$11:$AA$58,24,0)</f>
        <v>0.91259999999999997</v>
      </c>
      <c r="Y7" s="25">
        <f t="shared" si="3"/>
        <v>0.91402499999999998</v>
      </c>
      <c r="Z7" s="53">
        <f>+dashboard!$H$19</f>
        <v>0.91</v>
      </c>
      <c r="AB7" s="8" t="s">
        <v>16</v>
      </c>
      <c r="AC7" s="64">
        <f>100%-(U$5/$Z$5)</f>
        <v>-3.2967032967023968E-4</v>
      </c>
      <c r="AD7" s="64">
        <f t="shared" ref="AD7:AF7" si="8">100%-(V$5/$Z$5)</f>
        <v>-1.9780219780221042E-3</v>
      </c>
      <c r="AE7" s="64">
        <f t="shared" si="8"/>
        <v>1.0989010989004289E-4</v>
      </c>
      <c r="AF7" s="64">
        <f t="shared" si="8"/>
        <v>-5.6043956043956289E-3</v>
      </c>
    </row>
    <row r="8" spans="2:34">
      <c r="B8" s="23">
        <f t="shared" si="5"/>
        <v>9</v>
      </c>
      <c r="C8" s="8">
        <f>+VLOOKUP(B8,data!$C$11:$G$58,2,0)</f>
        <v>86</v>
      </c>
      <c r="D8" s="8">
        <f>+VLOOKUP(B8,data!$C$11:$G$58,3,0)</f>
        <v>66</v>
      </c>
      <c r="E8" s="8">
        <f>+VLOOKUP(B8,data!$C$11:$G$58,4,0)</f>
        <v>78</v>
      </c>
      <c r="F8" s="8">
        <f>+VLOOKUP(B8,data!$C$11:$G$58,5,0)</f>
        <v>117</v>
      </c>
      <c r="G8" s="22">
        <f t="shared" si="1"/>
        <v>86.75</v>
      </c>
      <c r="H8" s="51">
        <f>+dashboard!$H$17</f>
        <v>80</v>
      </c>
      <c r="J8" s="60"/>
      <c r="K8" s="61"/>
      <c r="L8" s="23">
        <f t="shared" si="6"/>
        <v>9</v>
      </c>
      <c r="M8" s="25">
        <f>+VLOOKUP(L8,data!$C$11:$U$58,16,0)</f>
        <v>3.7999999999999999E-2</v>
      </c>
      <c r="N8" s="25">
        <f>+VLOOKUP(L8,data!$C$11:$U$58,17,0)</f>
        <v>3.3000000000000002E-2</v>
      </c>
      <c r="O8" s="25">
        <f>+VLOOKUP(L8,data!$C$11:$U$58,18,0)</f>
        <v>4.7E-2</v>
      </c>
      <c r="P8" s="25">
        <f>+VLOOKUP(L8,data!$C$11:$U$58,19,0)</f>
        <v>1.4E-2</v>
      </c>
      <c r="Q8" s="25">
        <f t="shared" si="2"/>
        <v>3.3000000000000002E-2</v>
      </c>
      <c r="R8" s="52">
        <f>+dashboard!$H$18</f>
        <v>0.04</v>
      </c>
      <c r="T8" s="23">
        <f t="shared" si="7"/>
        <v>9</v>
      </c>
      <c r="U8" s="25">
        <f>+VLOOKUP(T8,data!$C$11:$AA$58,21,0)</f>
        <v>0.9143</v>
      </c>
      <c r="V8" s="25">
        <f>+VLOOKUP(T8,data!$C$11:$AA$58,22,0)</f>
        <v>0.91249999999999998</v>
      </c>
      <c r="W8" s="25">
        <f>+VLOOKUP(T8,data!$C$11:$AA$58,23,0)</f>
        <v>0.91710000000000003</v>
      </c>
      <c r="X8" s="25">
        <f>+VLOOKUP(T8,data!$C$11:$AA$58,24,0)</f>
        <v>0.91210000000000002</v>
      </c>
      <c r="Y8" s="25">
        <f t="shared" si="3"/>
        <v>0.91400000000000003</v>
      </c>
      <c r="Z8" s="53">
        <f>+dashboard!$H$19</f>
        <v>0.91</v>
      </c>
    </row>
    <row r="9" spans="2:34">
      <c r="B9" s="23">
        <f t="shared" si="5"/>
        <v>10</v>
      </c>
      <c r="C9" s="8">
        <f>+VLOOKUP(B9,data!$C$11:$G$58,2,0)</f>
        <v>115</v>
      </c>
      <c r="D9" s="8">
        <f>+VLOOKUP(B9,data!$C$11:$G$58,3,0)</f>
        <v>69</v>
      </c>
      <c r="E9" s="8">
        <f>+VLOOKUP(B9,data!$C$11:$G$58,4,0)</f>
        <v>151</v>
      </c>
      <c r="F9" s="8">
        <f>+VLOOKUP(B9,data!$C$11:$G$58,5,0)</f>
        <v>140</v>
      </c>
      <c r="G9" s="22">
        <f t="shared" si="1"/>
        <v>118.75</v>
      </c>
      <c r="H9" s="51">
        <f>+dashboard!$H$17</f>
        <v>80</v>
      </c>
      <c r="J9" s="60"/>
      <c r="K9" s="61"/>
      <c r="L9" s="23">
        <f t="shared" si="6"/>
        <v>10</v>
      </c>
      <c r="M9" s="25">
        <f>+VLOOKUP(L9,data!$C$11:$U$58,16,0)</f>
        <v>7.2999999999999995E-2</v>
      </c>
      <c r="N9" s="25">
        <f>+VLOOKUP(L9,data!$C$11:$U$58,17,0)</f>
        <v>6.7000000000000004E-2</v>
      </c>
      <c r="O9" s="25">
        <f>+VLOOKUP(L9,data!$C$11:$U$58,18,0)</f>
        <v>6.3E-2</v>
      </c>
      <c r="P9" s="25">
        <f>+VLOOKUP(L9,data!$C$11:$U$58,19,0)</f>
        <v>1.7999999999999999E-2</v>
      </c>
      <c r="Q9" s="25">
        <f t="shared" si="2"/>
        <v>5.525E-2</v>
      </c>
      <c r="R9" s="52">
        <f>+dashboard!$H$18</f>
        <v>0.04</v>
      </c>
      <c r="T9" s="23">
        <f t="shared" si="7"/>
        <v>10</v>
      </c>
      <c r="U9" s="25">
        <f>+VLOOKUP(T9,data!$C$11:$AA$58,21,0)</f>
        <v>0.91290000000000004</v>
      </c>
      <c r="V9" s="25">
        <f>+VLOOKUP(T9,data!$C$11:$AA$58,22,0)</f>
        <v>0.91759999999999997</v>
      </c>
      <c r="W9" s="25">
        <f>+VLOOKUP(T9,data!$C$11:$AA$58,23,0)</f>
        <v>0.91910000000000003</v>
      </c>
      <c r="X9" s="25">
        <f>+VLOOKUP(T9,data!$C$11:$AA$58,24,0)</f>
        <v>0.92</v>
      </c>
      <c r="Y9" s="25">
        <f t="shared" si="3"/>
        <v>0.91739999999999999</v>
      </c>
      <c r="Z9" s="53">
        <f>+dashboard!$H$19</f>
        <v>0.91</v>
      </c>
    </row>
    <row r="10" spans="2:34">
      <c r="B10" s="23">
        <f t="shared" si="5"/>
        <v>11</v>
      </c>
      <c r="C10" s="8">
        <f>+VLOOKUP(B10,data!$C$11:$G$58,2,0)</f>
        <v>124</v>
      </c>
      <c r="D10" s="8">
        <f>+VLOOKUP(B10,data!$C$11:$G$58,3,0)</f>
        <v>149</v>
      </c>
      <c r="E10" s="8">
        <f>+VLOOKUP(B10,data!$C$11:$G$58,4,0)</f>
        <v>121</v>
      </c>
      <c r="F10" s="8">
        <f>+VLOOKUP(B10,data!$C$11:$G$58,5,0)</f>
        <v>142</v>
      </c>
      <c r="G10" s="22">
        <f t="shared" si="1"/>
        <v>134</v>
      </c>
      <c r="H10" s="51">
        <f>+dashboard!$H$17</f>
        <v>80</v>
      </c>
      <c r="J10" s="60"/>
      <c r="K10" s="61"/>
      <c r="L10" s="23">
        <f t="shared" si="6"/>
        <v>11</v>
      </c>
      <c r="M10" s="25">
        <f>+VLOOKUP(L10,data!$C$11:$U$58,16,0)</f>
        <v>6.4000000000000001E-2</v>
      </c>
      <c r="N10" s="25">
        <f>+VLOOKUP(L10,data!$C$11:$U$58,17,0)</f>
        <v>6.6000000000000003E-2</v>
      </c>
      <c r="O10" s="25">
        <f>+VLOOKUP(L10,data!$C$11:$U$58,18,0)</f>
        <v>8.1000000000000003E-2</v>
      </c>
      <c r="P10" s="25">
        <f>+VLOOKUP(L10,data!$C$11:$U$58,19,0)</f>
        <v>7.0000000000000007E-2</v>
      </c>
      <c r="Q10" s="25">
        <f t="shared" si="2"/>
        <v>7.0250000000000007E-2</v>
      </c>
      <c r="R10" s="52">
        <f>+dashboard!$H$18</f>
        <v>0.04</v>
      </c>
      <c r="T10" s="23">
        <f t="shared" si="7"/>
        <v>11</v>
      </c>
      <c r="U10" s="25">
        <f>+VLOOKUP(T10,data!$C$11:$AA$58,21,0)</f>
        <v>0.91220000000000001</v>
      </c>
      <c r="V10" s="25">
        <f>+VLOOKUP(T10,data!$C$11:$AA$58,22,0)</f>
        <v>0.91749999999999998</v>
      </c>
      <c r="W10" s="25">
        <f>+VLOOKUP(T10,data!$C$11:$AA$58,23,0)</f>
        <v>0.91600000000000004</v>
      </c>
      <c r="X10" s="25">
        <f>+VLOOKUP(T10,data!$C$11:$AA$58,24,0)</f>
        <v>0.91749999999999998</v>
      </c>
      <c r="Y10" s="25">
        <f t="shared" si="3"/>
        <v>0.91579999999999995</v>
      </c>
      <c r="Z10" s="53">
        <f>+dashboard!$H$19</f>
        <v>0.91</v>
      </c>
    </row>
    <row r="11" spans="2:34">
      <c r="B11" s="23">
        <f t="shared" si="5"/>
        <v>12</v>
      </c>
      <c r="C11" s="8">
        <f>+VLOOKUP(B11,data!$C$11:$G$58,2,0)</f>
        <v>144</v>
      </c>
      <c r="D11" s="8">
        <f>+VLOOKUP(B11,data!$C$11:$G$58,3,0)</f>
        <v>80</v>
      </c>
      <c r="E11" s="8">
        <f>+VLOOKUP(B11,data!$C$11:$G$58,4,0)</f>
        <v>101</v>
      </c>
      <c r="F11" s="8">
        <f>+VLOOKUP(B11,data!$C$11:$G$58,5,0)</f>
        <v>138</v>
      </c>
      <c r="G11" s="22">
        <f t="shared" si="1"/>
        <v>115.75</v>
      </c>
      <c r="H11" s="51">
        <f>+dashboard!$H$17</f>
        <v>80</v>
      </c>
      <c r="J11" s="60"/>
      <c r="K11" s="61"/>
      <c r="L11" s="23">
        <f t="shared" si="6"/>
        <v>12</v>
      </c>
      <c r="M11" s="25">
        <f>+VLOOKUP(L11,data!$C$11:$U$58,16,0)</f>
        <v>3.1E-2</v>
      </c>
      <c r="N11" s="25">
        <f>+VLOOKUP(L11,data!$C$11:$U$58,17,0)</f>
        <v>9.2999999999999999E-2</v>
      </c>
      <c r="O11" s="25">
        <f>+VLOOKUP(L11,data!$C$11:$U$58,18,0)</f>
        <v>6.3E-2</v>
      </c>
      <c r="P11" s="25">
        <f>+VLOOKUP(L11,data!$C$11:$U$58,19,0)</f>
        <v>5.3999999999999999E-2</v>
      </c>
      <c r="Q11" s="25">
        <f t="shared" si="2"/>
        <v>6.0249999999999998E-2</v>
      </c>
      <c r="R11" s="52">
        <f>+dashboard!$H$18</f>
        <v>0.04</v>
      </c>
      <c r="T11" s="23">
        <f t="shared" si="7"/>
        <v>12</v>
      </c>
      <c r="U11" s="25">
        <f>+VLOOKUP(T11,data!$C$11:$AA$58,21,0)</f>
        <v>0.9163</v>
      </c>
      <c r="V11" s="25">
        <f>+VLOOKUP(T11,data!$C$11:$AA$58,22,0)</f>
        <v>0.91139999999999999</v>
      </c>
      <c r="W11" s="25">
        <f>+VLOOKUP(T11,data!$C$11:$AA$58,23,0)</f>
        <v>0.91310000000000002</v>
      </c>
      <c r="X11" s="25">
        <f>+VLOOKUP(T11,data!$C$11:$AA$58,24,0)</f>
        <v>0.91439999999999999</v>
      </c>
      <c r="Y11" s="25">
        <f t="shared" si="3"/>
        <v>0.91380000000000006</v>
      </c>
      <c r="Z11" s="53">
        <f>+dashboard!$H$19</f>
        <v>0.91</v>
      </c>
    </row>
    <row r="12" spans="2:34">
      <c r="B12" s="23">
        <f t="shared" si="5"/>
        <v>13</v>
      </c>
      <c r="C12" s="8">
        <f>+VLOOKUP(B12,data!$C$11:$G$58,2,0)</f>
        <v>110</v>
      </c>
      <c r="D12" s="8">
        <f>+VLOOKUP(B12,data!$C$11:$G$58,3,0)</f>
        <v>69</v>
      </c>
      <c r="E12" s="8">
        <f>+VLOOKUP(B12,data!$C$11:$G$58,4,0)</f>
        <v>112</v>
      </c>
      <c r="F12" s="8">
        <f>+VLOOKUP(B12,data!$C$11:$G$58,5,0)</f>
        <v>163</v>
      </c>
      <c r="G12" s="22">
        <f t="shared" si="1"/>
        <v>113.5</v>
      </c>
      <c r="H12" s="51">
        <f>+dashboard!$H$17</f>
        <v>80</v>
      </c>
      <c r="J12" s="60"/>
      <c r="K12" s="61"/>
      <c r="L12" s="23">
        <f t="shared" si="6"/>
        <v>13</v>
      </c>
      <c r="M12" s="25">
        <f>+VLOOKUP(L12,data!$C$11:$U$58,16,0)</f>
        <v>0.08</v>
      </c>
      <c r="N12" s="25">
        <f>+VLOOKUP(L12,data!$C$11:$U$58,17,0)</f>
        <v>0.09</v>
      </c>
      <c r="O12" s="25">
        <f>+VLOOKUP(L12,data!$C$11:$U$58,18,0)</f>
        <v>2.3E-2</v>
      </c>
      <c r="P12" s="25">
        <f>+VLOOKUP(L12,data!$C$11:$U$58,19,0)</f>
        <v>6.0999999999999999E-2</v>
      </c>
      <c r="Q12" s="25">
        <f t="shared" si="2"/>
        <v>6.3500000000000001E-2</v>
      </c>
      <c r="R12" s="52">
        <f>+dashboard!$H$18</f>
        <v>0.04</v>
      </c>
      <c r="T12" s="23">
        <f t="shared" si="7"/>
        <v>13</v>
      </c>
      <c r="U12" s="25">
        <f>+VLOOKUP(T12,data!$C$11:$AA$58,21,0)</f>
        <v>0.9123</v>
      </c>
      <c r="V12" s="25">
        <f>+VLOOKUP(T12,data!$C$11:$AA$58,22,0)</f>
        <v>0.91500000000000004</v>
      </c>
      <c r="W12" s="25">
        <f>+VLOOKUP(T12,data!$C$11:$AA$58,23,0)</f>
        <v>0.91749999999999998</v>
      </c>
      <c r="X12" s="25">
        <f>+VLOOKUP(T12,data!$C$11:$AA$58,24,0)</f>
        <v>0.94</v>
      </c>
      <c r="Y12" s="25">
        <f t="shared" si="3"/>
        <v>0.92120000000000002</v>
      </c>
      <c r="Z12" s="53">
        <f>+dashboard!$H$19</f>
        <v>0.91</v>
      </c>
      <c r="AB12" s="8" t="s">
        <v>54</v>
      </c>
      <c r="AC12" s="50" t="s">
        <v>48</v>
      </c>
      <c r="AD12" s="50" t="s">
        <v>49</v>
      </c>
      <c r="AE12" s="50" t="s">
        <v>50</v>
      </c>
      <c r="AF12" s="50" t="s">
        <v>51</v>
      </c>
    </row>
    <row r="13" spans="2:34">
      <c r="B13" s="23">
        <f t="shared" si="5"/>
        <v>14</v>
      </c>
      <c r="C13" s="8">
        <f>+VLOOKUP(B13,data!$C$11:$G$58,2,0)</f>
        <v>141</v>
      </c>
      <c r="D13" s="8">
        <f>+VLOOKUP(B13,data!$C$11:$G$58,3,0)</f>
        <v>83</v>
      </c>
      <c r="E13" s="8">
        <f>+VLOOKUP(B13,data!$C$11:$G$58,4,0)</f>
        <v>169</v>
      </c>
      <c r="F13" s="8">
        <f>+VLOOKUP(B13,data!$C$11:$G$58,5,0)</f>
        <v>166</v>
      </c>
      <c r="G13" s="22">
        <f t="shared" si="1"/>
        <v>139.75</v>
      </c>
      <c r="H13" s="51">
        <f>+dashboard!$H$17</f>
        <v>80</v>
      </c>
      <c r="J13" s="60"/>
      <c r="K13" s="61"/>
      <c r="L13" s="23">
        <f t="shared" si="6"/>
        <v>14</v>
      </c>
      <c r="M13" s="25">
        <f>+VLOOKUP(L13,data!$C$11:$U$58,16,0)</f>
        <v>7.3999999999999996E-2</v>
      </c>
      <c r="N13" s="25">
        <f>+VLOOKUP(L13,data!$C$11:$U$58,17,0)</f>
        <v>6.7000000000000004E-2</v>
      </c>
      <c r="O13" s="25">
        <f>+VLOOKUP(L13,data!$C$11:$U$58,18,0)</f>
        <v>2.3E-2</v>
      </c>
      <c r="P13" s="25">
        <f>+VLOOKUP(L13,data!$C$11:$U$58,19,0)</f>
        <v>2.9000000000000001E-2</v>
      </c>
      <c r="Q13" s="25">
        <f t="shared" si="2"/>
        <v>4.8250000000000001E-2</v>
      </c>
      <c r="R13" s="52">
        <f>+dashboard!$H$18</f>
        <v>0.04</v>
      </c>
      <c r="T13" s="23">
        <f t="shared" si="7"/>
        <v>14</v>
      </c>
      <c r="U13" s="25">
        <f>+VLOOKUP(T13,data!$C$11:$AA$58,21,0)</f>
        <v>0.91090000000000004</v>
      </c>
      <c r="V13" s="25">
        <f>+VLOOKUP(T13,data!$C$11:$AA$58,22,0)</f>
        <v>0.91900000000000004</v>
      </c>
      <c r="W13" s="25">
        <f>+VLOOKUP(T13,data!$C$11:$AA$58,23,0)</f>
        <v>0.90939999999999999</v>
      </c>
      <c r="X13" s="25">
        <f>+VLOOKUP(T13,data!$C$11:$AA$58,24,0)</f>
        <v>0.91369999999999996</v>
      </c>
      <c r="Y13" s="25">
        <f t="shared" si="3"/>
        <v>0.91325000000000001</v>
      </c>
      <c r="Z13" s="53">
        <f>+dashboard!$H$19</f>
        <v>0.91</v>
      </c>
      <c r="AB13" s="8" t="s">
        <v>12</v>
      </c>
      <c r="AC13" s="8">
        <f>+VLOOKUP($B5,data!$C$11:$D$58,2,0)</f>
        <v>107</v>
      </c>
      <c r="AD13" s="8">
        <f>+VLOOKUP($B5,data!$C$11:E$58,3,0)</f>
        <v>97</v>
      </c>
      <c r="AE13" s="8">
        <f>+VLOOKUP($B5,data!$C$11:F$58,4,0)</f>
        <v>163</v>
      </c>
      <c r="AF13" s="8">
        <f>+VLOOKUP($B5,data!$C$11:G$58,5,0)</f>
        <v>161</v>
      </c>
    </row>
    <row r="14" spans="2:34">
      <c r="B14" s="23">
        <f t="shared" si="5"/>
        <v>15</v>
      </c>
      <c r="C14" s="8">
        <f>+VLOOKUP(B14,data!$C$11:$G$58,2,0)</f>
        <v>91</v>
      </c>
      <c r="D14" s="8">
        <f>+VLOOKUP(B14,data!$C$11:$G$58,3,0)</f>
        <v>96</v>
      </c>
      <c r="E14" s="8">
        <f>+VLOOKUP(B14,data!$C$11:$G$58,4,0)</f>
        <v>109</v>
      </c>
      <c r="F14" s="8">
        <f>+VLOOKUP(B14,data!$C$11:$G$58,5,0)</f>
        <v>112</v>
      </c>
      <c r="G14" s="22">
        <f t="shared" si="1"/>
        <v>102</v>
      </c>
      <c r="H14" s="51">
        <f>+dashboard!$H$17</f>
        <v>80</v>
      </c>
      <c r="J14" s="60"/>
      <c r="K14" s="61"/>
      <c r="L14" s="23">
        <f t="shared" si="6"/>
        <v>15</v>
      </c>
      <c r="M14" s="25">
        <f>+VLOOKUP(L14,data!$C$11:$U$58,16,0)</f>
        <v>3.0000000000000001E-3</v>
      </c>
      <c r="N14" s="25">
        <f>+VLOOKUP(L14,data!$C$11:$U$58,17,0)</f>
        <v>9.8000000000000004E-2</v>
      </c>
      <c r="O14" s="25">
        <f>+VLOOKUP(L14,data!$C$11:$U$58,18,0)</f>
        <v>5.0000000000000001E-3</v>
      </c>
      <c r="P14" s="25">
        <f>+VLOOKUP(L14,data!$C$11:$U$58,19,0)</f>
        <v>8.0000000000000002E-3</v>
      </c>
      <c r="Q14" s="25">
        <f t="shared" si="2"/>
        <v>2.8500000000000004E-2</v>
      </c>
      <c r="R14" s="52">
        <f>+dashboard!$H$18</f>
        <v>0.04</v>
      </c>
      <c r="T14" s="23">
        <f t="shared" si="7"/>
        <v>15</v>
      </c>
      <c r="U14" s="25">
        <f>+VLOOKUP(T14,data!$C$11:$AA$58,21,0)</f>
        <v>0.91359999999999997</v>
      </c>
      <c r="V14" s="25">
        <f>+VLOOKUP(T14,data!$C$11:$AA$58,22,0)</f>
        <v>0.91649999999999998</v>
      </c>
      <c r="W14" s="25">
        <f>+VLOOKUP(T14,data!$C$11:$AA$58,23,0)</f>
        <v>0.91859999999999997</v>
      </c>
      <c r="X14" s="25">
        <f>+VLOOKUP(T14,data!$C$11:$AA$58,24,0)</f>
        <v>0.91400000000000003</v>
      </c>
      <c r="Y14" s="25">
        <f t="shared" si="3"/>
        <v>0.91567500000000002</v>
      </c>
      <c r="Z14" s="53">
        <f>+dashboard!$H$19</f>
        <v>0.91</v>
      </c>
      <c r="AB14" s="8" t="s">
        <v>15</v>
      </c>
      <c r="AC14" s="64">
        <f>+VLOOKUP($B$5,data!$C$11:$U$58,16,0)</f>
        <v>2.1000000000000001E-2</v>
      </c>
      <c r="AD14" s="64">
        <f>+VLOOKUP($B$5,data!$C$11:$U$58,17,0)</f>
        <v>2.5000000000000001E-2</v>
      </c>
      <c r="AE14" s="64">
        <f>+VLOOKUP($B$5,data!$C$11:$U$58,18,0)</f>
        <v>8.1000000000000003E-2</v>
      </c>
      <c r="AF14" s="64">
        <f>+VLOOKUP($B$5,data!$C$11:$U$58,19,0)</f>
        <v>3.7999999999999999E-2</v>
      </c>
    </row>
    <row r="15" spans="2:34">
      <c r="B15" s="23">
        <f t="shared" si="5"/>
        <v>16</v>
      </c>
      <c r="C15" s="8">
        <f>+VLOOKUP(B15,data!$C$11:$G$58,2,0)</f>
        <v>83</v>
      </c>
      <c r="D15" s="8">
        <f>+VLOOKUP(B15,data!$C$11:$G$58,3,0)</f>
        <v>98</v>
      </c>
      <c r="E15" s="8">
        <f>+VLOOKUP(B15,data!$C$11:$G$58,4,0)</f>
        <v>82</v>
      </c>
      <c r="F15" s="8">
        <f>+VLOOKUP(B15,data!$C$11:$G$58,5,0)</f>
        <v>80</v>
      </c>
      <c r="G15" s="22">
        <f t="shared" si="1"/>
        <v>85.75</v>
      </c>
      <c r="H15" s="51">
        <f>+dashboard!$H$17</f>
        <v>80</v>
      </c>
      <c r="J15" s="60"/>
      <c r="K15" s="61"/>
      <c r="L15" s="23">
        <f t="shared" si="6"/>
        <v>16</v>
      </c>
      <c r="M15" s="25">
        <f>+VLOOKUP(L15,data!$C$11:$U$58,16,0)</f>
        <v>1.4E-2</v>
      </c>
      <c r="N15" s="25">
        <f>+VLOOKUP(L15,data!$C$11:$U$58,17,0)</f>
        <v>8.2000000000000003E-2</v>
      </c>
      <c r="O15" s="25">
        <f>+VLOOKUP(L15,data!$C$11:$U$58,18,0)</f>
        <v>0.09</v>
      </c>
      <c r="P15" s="25">
        <f>+VLOOKUP(L15,data!$C$11:$U$58,19,0)</f>
        <v>4.9000000000000002E-2</v>
      </c>
      <c r="Q15" s="25">
        <f t="shared" si="2"/>
        <v>5.8749999999999997E-2</v>
      </c>
      <c r="R15" s="52">
        <f>+dashboard!$H$18</f>
        <v>0.04</v>
      </c>
      <c r="T15" s="23">
        <f t="shared" si="7"/>
        <v>16</v>
      </c>
      <c r="U15" s="25">
        <f>+VLOOKUP(T15,data!$C$11:$AA$58,21,0)</f>
        <v>0.91220000000000001</v>
      </c>
      <c r="V15" s="25">
        <f>+VLOOKUP(T15,data!$C$11:$AA$58,22,0)</f>
        <v>0.91249999999999998</v>
      </c>
      <c r="W15" s="25">
        <f>+VLOOKUP(T15,data!$C$11:$AA$58,23,0)</f>
        <v>0.91059999999999997</v>
      </c>
      <c r="X15" s="25">
        <f>+VLOOKUP(T15,data!$C$11:$AA$58,24,0)</f>
        <v>0.90920000000000001</v>
      </c>
      <c r="Y15" s="25">
        <f t="shared" si="3"/>
        <v>0.91112499999999996</v>
      </c>
      <c r="Z15" s="53">
        <f>+dashboard!$H$19</f>
        <v>0.91</v>
      </c>
      <c r="AB15" s="8" t="s">
        <v>16</v>
      </c>
      <c r="AC15" s="64">
        <f>+VLOOKUP(B5,data!$C$11:$Z$58,21,0)</f>
        <v>0.9103</v>
      </c>
      <c r="AD15" s="64">
        <f>+VLOOKUP(B5,data!$C$11:$Z$58,22,0)</f>
        <v>0.91180000000000005</v>
      </c>
      <c r="AE15" s="64">
        <f>+VLOOKUP(B5,data!$C$11:$Z$58,23,0)</f>
        <v>0.90990000000000004</v>
      </c>
      <c r="AF15" s="64">
        <f>+VLOOKUP(B5,data!$C$11:$Z$58,24,0)</f>
        <v>0.91510000000000002</v>
      </c>
    </row>
    <row r="16" spans="2:34">
      <c r="B16" s="23">
        <f t="shared" si="5"/>
        <v>17</v>
      </c>
      <c r="C16" s="8">
        <f>+VLOOKUP(B16,data!$C$11:$G$58,2,0)</f>
        <v>91</v>
      </c>
      <c r="D16" s="8">
        <f>+VLOOKUP(B16,data!$C$11:$G$58,3,0)</f>
        <v>94</v>
      </c>
      <c r="E16" s="8">
        <f>+VLOOKUP(B16,data!$C$11:$G$58,4,0)</f>
        <v>119</v>
      </c>
      <c r="F16" s="8">
        <f>+VLOOKUP(B16,data!$C$11:$G$58,5,0)</f>
        <v>68</v>
      </c>
      <c r="G16" s="22">
        <f t="shared" si="1"/>
        <v>93</v>
      </c>
      <c r="H16" s="51">
        <f>+dashboard!$H$17</f>
        <v>80</v>
      </c>
      <c r="J16" s="60"/>
      <c r="K16" s="61"/>
      <c r="L16" s="23">
        <f t="shared" si="6"/>
        <v>17</v>
      </c>
      <c r="M16" s="25">
        <f>+VLOOKUP(L16,data!$C$11:$U$58,16,0)</f>
        <v>3.3000000000000002E-2</v>
      </c>
      <c r="N16" s="25">
        <f>+VLOOKUP(L16,data!$C$11:$U$58,17,0)</f>
        <v>8.7999999999999995E-2</v>
      </c>
      <c r="O16" s="25">
        <f>+VLOOKUP(L16,data!$C$11:$U$58,18,0)</f>
        <v>0.05</v>
      </c>
      <c r="P16" s="25">
        <f>+VLOOKUP(L16,data!$C$11:$U$58,19,0)</f>
        <v>8.2000000000000003E-2</v>
      </c>
      <c r="Q16" s="25">
        <f t="shared" si="2"/>
        <v>6.3250000000000001E-2</v>
      </c>
      <c r="R16" s="52">
        <f>+dashboard!$H$18</f>
        <v>0.04</v>
      </c>
      <c r="T16" s="23">
        <f t="shared" si="7"/>
        <v>17</v>
      </c>
      <c r="U16" s="25">
        <f>+VLOOKUP(T16,data!$C$11:$AA$58,21,0)</f>
        <v>0.91539999999999999</v>
      </c>
      <c r="V16" s="25">
        <f>+VLOOKUP(T16,data!$C$11:$AA$58,22,0)</f>
        <v>0.91159999999999997</v>
      </c>
      <c r="W16" s="25">
        <f>+VLOOKUP(T16,data!$C$11:$AA$58,23,0)</f>
        <v>0.91049999999999998</v>
      </c>
      <c r="X16" s="25">
        <f>+VLOOKUP(T16,data!$C$11:$AA$58,24,0)</f>
        <v>0.91610000000000003</v>
      </c>
      <c r="Y16" s="25">
        <f t="shared" si="3"/>
        <v>0.91339999999999999</v>
      </c>
      <c r="Z16" s="53">
        <f>+dashboard!$H$19</f>
        <v>0.91</v>
      </c>
    </row>
    <row r="18" spans="28:28">
      <c r="AB18" s="8">
        <v>0</v>
      </c>
    </row>
    <row r="19" spans="28:28" ht="20.25" customHeight="1"/>
    <row r="20" spans="28:28" ht="20.25" customHeight="1"/>
  </sheetData>
  <mergeCells count="4">
    <mergeCell ref="L2:R2"/>
    <mergeCell ref="B2:H2"/>
    <mergeCell ref="T2:Z2"/>
    <mergeCell ref="AB2:AH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28E1A83B2152A44B8A3DF1E2A67D874" ma:contentTypeVersion="7" ma:contentTypeDescription="Ein neues Dokument erstellen." ma:contentTypeScope="" ma:versionID="3a88f8b31e2db569ee5eecc7291a0e0e">
  <xsd:schema xmlns:xsd="http://www.w3.org/2001/XMLSchema" xmlns:p="http://schemas.microsoft.com/office/2006/metadata/properties" xmlns:ns2="104ed873-9faf-46cc-91ae-f1be11c64168" xmlns:ns3="61b22550-9d70-4111-8ff1-625934f6cbb4" targetNamespace="http://schemas.microsoft.com/office/2006/metadata/properties" ma:root="true" ma:fieldsID="6fd617fdad0ab8ebcc1b99029a72ca97" ns2:_="" ns3:_="">
    <xsd:import namespace="104ed873-9faf-46cc-91ae-f1be11c64168"/>
    <xsd:import namespace="61b22550-9d70-4111-8ff1-625934f6cbb4"/>
    <xsd:element name="properties">
      <xsd:complexType>
        <xsd:sequence>
          <xsd:element name="documentManagement">
            <xsd:complexType>
              <xsd:all>
                <xsd:element ref="ns2:Dokumententyp" minOccurs="0"/>
                <xsd:element ref="ns2:Projektphase" minOccurs="0"/>
                <xsd:element ref="ns3:Status" minOccurs="0"/>
                <xsd:element ref="ns3:Adressat" minOccurs="0"/>
                <xsd:element ref="ns3:Datum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04ed873-9faf-46cc-91ae-f1be11c64168" elementFormDefault="qualified">
    <xsd:import namespace="http://schemas.microsoft.com/office/2006/documentManagement/types"/>
    <xsd:element name="Dokumententyp" ma:index="8" nillable="true" ma:displayName="Dokumententyp" ma:list="{5C3883A0-7E69-44B4-B367-16631F8F63B8}" ma:internalName="Dokumententyp" ma:showField="Title">
      <xsd:simpleType>
        <xsd:restriction base="dms:Lookup"/>
      </xsd:simpleType>
    </xsd:element>
    <xsd:element name="Projektphase" ma:index="9" nillable="true" ma:displayName="Projektphase" ma:list="{E1D7B9C6-8741-4462-8829-1CA1E674A191}" ma:internalName="Projektphase" ma:readOnly="false" ma:showField="Title">
      <xsd:simpleType>
        <xsd:restriction base="dms:Lookup"/>
      </xsd:simpleType>
    </xsd:element>
  </xsd:schema>
  <xsd:schema xmlns:xsd="http://www.w3.org/2001/XMLSchema" xmlns:dms="http://schemas.microsoft.com/office/2006/documentManagement/types" targetNamespace="61b22550-9d70-4111-8ff1-625934f6cbb4" elementFormDefault="qualified">
    <xsd:import namespace="http://schemas.microsoft.com/office/2006/documentManagement/types"/>
    <xsd:element name="Status" ma:index="10" nillable="true" ma:displayName="Status" ma:default="Entwurf" ma:format="Dropdown" ma:internalName="Status">
      <xsd:simpleType>
        <xsd:restriction base="dms:Choice">
          <xsd:enumeration value="Entwurf"/>
          <xsd:enumeration value="Zur Abstimmung"/>
          <xsd:enumeration value="Freigegeben"/>
          <xsd:enumeration value="In Review"/>
          <xsd:enumeration value="Zurückgezogen"/>
        </xsd:restriction>
      </xsd:simpleType>
    </xsd:element>
    <xsd:element name="Adressat" ma:index="11" nillable="true" ma:displayName="Adressat" ma:default="Steering Board" ma:description="Zur Differenzierung von Präsentationen, Reports etc." ma:format="Dropdown" ma:internalName="Adressat">
      <xsd:simpleType>
        <xsd:restriction base="dms:Choice">
          <xsd:enumeration value="Steering Board"/>
          <xsd:enumeration value="Business Board"/>
          <xsd:enumeration value="Project Board"/>
        </xsd:restriction>
      </xsd:simpleType>
    </xsd:element>
    <xsd:element name="Datum" ma:index="12" nillable="true" ma:displayName="Datum" ma:description="Datum des Meetings, der Freigabe etc. Format: tt.mm.yyyy" ma:format="DateOnly" ma:internalName="Datum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ktphase xmlns="104ed873-9faf-46cc-91ae-f1be11c64168" xsi:nil="true"/>
    <Datum xmlns="61b22550-9d70-4111-8ff1-625934f6cbb4" xsi:nil="true"/>
    <Dokumententyp xmlns="104ed873-9faf-46cc-91ae-f1be11c64168" xsi:nil="true"/>
    <Adressat xmlns="61b22550-9d70-4111-8ff1-625934f6cbb4">Steering Board</Adressat>
    <Status xmlns="61b22550-9d70-4111-8ff1-625934f6cbb4">Entwurf</Status>
  </documentManagement>
</p:properties>
</file>

<file path=customXml/itemProps1.xml><?xml version="1.0" encoding="utf-8"?>
<ds:datastoreItem xmlns:ds="http://schemas.openxmlformats.org/officeDocument/2006/customXml" ds:itemID="{3D888205-C8D3-431D-BD16-6DECBC6CA4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5CAE4F-B4A3-4304-B0EB-0BA70591FD04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11AEF257-B382-4EB8-83F8-D1C31BBF83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4ed873-9faf-46cc-91ae-f1be11c64168"/>
    <ds:schemaRef ds:uri="61b22550-9d70-4111-8ff1-625934f6cbb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831D60F1-7F30-45C7-BA1A-1A024B148270}">
  <ds:schemaRefs>
    <ds:schemaRef ds:uri="http://purl.org/dc/terms/"/>
    <ds:schemaRef ds:uri="http://schemas.microsoft.com/office/2006/documentManagement/types"/>
    <ds:schemaRef ds:uri="104ed873-9faf-46cc-91ae-f1be11c64168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61b22550-9d70-4111-8ff1-625934f6cbb4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dashboard</vt:lpstr>
      <vt:lpstr>data</vt:lpstr>
      <vt:lpstr>calc</vt:lpstr>
      <vt:lpstr>valHelpStatus</vt:lpstr>
    </vt:vector>
  </TitlesOfParts>
  <Manager>ExcelDashboards</Manager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István Vozár</dc:creator>
  <dc:description>exceldashboardschool.com</dc:description>
  <cp:lastModifiedBy>Anand Mukharjee</cp:lastModifiedBy>
  <cp:lastPrinted>2010-01-31T15:37:39Z</cp:lastPrinted>
  <dcterms:created xsi:type="dcterms:W3CDTF">2007-09-07T07:07:46Z</dcterms:created>
  <dcterms:modified xsi:type="dcterms:W3CDTF">2022-02-21T11:28:59Z</dcterms:modified>
  <cp:category>Excel dashboards</cp:category>
</cp:coreProperties>
</file>